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igh\HEPS\Math and Physics\"/>
    </mc:Choice>
  </mc:AlternateContent>
  <xr:revisionPtr revIDLastSave="0" documentId="13_ncr:1_{22FBB0EE-A6BD-4E86-ADA0-BD00819312D3}" xr6:coauthVersionLast="47" xr6:coauthVersionMax="47" xr10:uidLastSave="{00000000-0000-0000-0000-000000000000}"/>
  <bookViews>
    <workbookView xWindow="-98" yWindow="-98" windowWidth="24496" windowHeight="15675" activeTab="1" xr2:uid="{38CEC227-83D5-43BB-91BB-9DB93FBE6A36}"/>
  </bookViews>
  <sheets>
    <sheet name="Important Info" sheetId="1" r:id="rId1"/>
    <sheet name="T-Motor U7 490kV with T-Motor P" sheetId="2" r:id="rId2"/>
    <sheet name="T-Motor Antigravity 7005 KV230 " sheetId="3" r:id="rId3"/>
    <sheet name="T-Motor Antigravity 7005-230 wi" sheetId="4" r:id="rId4"/>
    <sheet name="Flight Time Calculator" sheetId="6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interpolate_for_x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rpolate_for_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5" i="4" l="1"/>
  <c r="M16" i="4"/>
  <c r="M17" i="4"/>
  <c r="M18" i="4"/>
  <c r="M19" i="4"/>
  <c r="M20" i="4"/>
  <c r="M21" i="4"/>
  <c r="M22" i="4"/>
  <c r="M23" i="4"/>
  <c r="M24" i="4"/>
  <c r="S31" i="6"/>
  <c r="S32" i="6"/>
  <c r="S33" i="6"/>
  <c r="S34" i="6"/>
  <c r="S35" i="6"/>
  <c r="T35" i="6" s="1"/>
  <c r="S36" i="6"/>
  <c r="T36" i="6" s="1"/>
  <c r="S37" i="6"/>
  <c r="T37" i="6" s="1"/>
  <c r="S38" i="6"/>
  <c r="S39" i="6"/>
  <c r="S40" i="6"/>
  <c r="S41" i="6"/>
  <c r="S42" i="6"/>
  <c r="S43" i="6"/>
  <c r="T43" i="6" s="1"/>
  <c r="S44" i="6"/>
  <c r="T44" i="6" s="1"/>
  <c r="S45" i="6"/>
  <c r="T45" i="6" s="1"/>
  <c r="S30" i="6"/>
  <c r="T30" i="6" s="1"/>
  <c r="T42" i="6"/>
  <c r="T41" i="6"/>
  <c r="T40" i="6"/>
  <c r="T39" i="6"/>
  <c r="T38" i="6"/>
  <c r="T34" i="6"/>
  <c r="T33" i="6"/>
  <c r="T32" i="6"/>
  <c r="T31" i="6"/>
  <c r="O49" i="4" a="1"/>
  <c r="O51" i="4" a="1"/>
  <c r="O52" i="4" a="1"/>
  <c r="O50" i="4" a="1"/>
  <c r="O48" i="4" a="1"/>
  <c r="N49" i="4" a="1"/>
  <c r="N52" i="4" a="1"/>
  <c r="N50" i="4" a="1"/>
  <c r="N51" i="4" a="1"/>
  <c r="N48" i="4" a="1"/>
  <c r="M49" i="4" a="1"/>
  <c r="M51" i="4" a="1"/>
  <c r="M50" i="4" a="1"/>
  <c r="M52" i="4" a="1"/>
  <c r="M48" i="4" a="1"/>
  <c r="L49" i="4" a="1"/>
  <c r="L50" i="4" a="1"/>
  <c r="L51" i="4" a="1"/>
  <c r="L52" i="4" a="1"/>
  <c r="L48" i="4" a="1"/>
  <c r="K50" i="4" a="1"/>
  <c r="K51" i="4" a="1"/>
  <c r="K52" i="4" a="1"/>
  <c r="K49" i="4" a="1"/>
  <c r="K48" i="4" a="1"/>
  <c r="O41" i="4" a="1"/>
  <c r="O42" i="4" a="1"/>
  <c r="O43" i="4" a="1"/>
  <c r="O44" i="4" a="1"/>
  <c r="O40" i="4" a="1"/>
  <c r="N41" i="4" a="1"/>
  <c r="N42" i="4" a="1"/>
  <c r="N43" i="4" a="1"/>
  <c r="N44" i="4" a="1"/>
  <c r="N40" i="4" a="1"/>
  <c r="M42" i="4" a="1"/>
  <c r="M43" i="4" a="1"/>
  <c r="M44" i="4" a="1"/>
  <c r="M41" i="4" a="1"/>
  <c r="M40" i="4" a="1"/>
  <c r="L41" i="4" a="1"/>
  <c r="L42" i="4" a="1"/>
  <c r="L43" i="4" a="1"/>
  <c r="L44" i="4" a="1"/>
  <c r="L40" i="4" a="1"/>
  <c r="K43" i="4" a="1"/>
  <c r="K42" i="4" a="1"/>
  <c r="K41" i="4" a="1"/>
  <c r="K44" i="4" a="1"/>
  <c r="K40" i="4" a="1"/>
  <c r="O35" i="4" a="1"/>
  <c r="O33" i="4" a="1"/>
  <c r="O34" i="4" a="1"/>
  <c r="O36" i="4" a="1"/>
  <c r="O32" i="4" a="1"/>
  <c r="N33" i="4" a="1"/>
  <c r="N34" i="4" a="1"/>
  <c r="N35" i="4" a="1"/>
  <c r="N36" i="4" a="1"/>
  <c r="N32" i="4" a="1"/>
  <c r="M35" i="4" a="1"/>
  <c r="M34" i="4" a="1"/>
  <c r="M33" i="4" a="1"/>
  <c r="M36" i="4" a="1"/>
  <c r="M32" i="4" a="1"/>
  <c r="L33" i="4" a="1"/>
  <c r="L34" i="4" a="1"/>
  <c r="L36" i="4" a="1"/>
  <c r="L35" i="4" a="1"/>
  <c r="L32" i="4" a="1"/>
  <c r="K33" i="4" a="1"/>
  <c r="K34" i="4" a="1"/>
  <c r="K35" i="4" a="1"/>
  <c r="K36" i="4" a="1"/>
  <c r="K32" i="4" a="1"/>
  <c r="O50" i="4" l="1"/>
  <c r="O52" i="4"/>
  <c r="O51" i="4"/>
  <c r="O49" i="4"/>
  <c r="O48" i="4"/>
  <c r="N51" i="4"/>
  <c r="N50" i="4"/>
  <c r="N52" i="4"/>
  <c r="N49" i="4"/>
  <c r="N48" i="4"/>
  <c r="M52" i="4"/>
  <c r="M50" i="4"/>
  <c r="M51" i="4"/>
  <c r="M49" i="4"/>
  <c r="M48" i="4"/>
  <c r="L52" i="4"/>
  <c r="L51" i="4"/>
  <c r="L50" i="4"/>
  <c r="L49" i="4"/>
  <c r="L48" i="4"/>
  <c r="K49" i="4"/>
  <c r="K52" i="4"/>
  <c r="K51" i="4"/>
  <c r="K50" i="4"/>
  <c r="K48" i="4"/>
  <c r="O44" i="4"/>
  <c r="O43" i="4"/>
  <c r="O42" i="4"/>
  <c r="O41" i="4"/>
  <c r="O40" i="4"/>
  <c r="N44" i="4"/>
  <c r="N43" i="4"/>
  <c r="N42" i="4"/>
  <c r="N41" i="4"/>
  <c r="N40" i="4"/>
  <c r="M41" i="4"/>
  <c r="M44" i="4"/>
  <c r="M43" i="4"/>
  <c r="M42" i="4"/>
  <c r="M40" i="4"/>
  <c r="L44" i="4"/>
  <c r="L43" i="4"/>
  <c r="L42" i="4"/>
  <c r="L41" i="4"/>
  <c r="L40" i="4"/>
  <c r="K44" i="4"/>
  <c r="K41" i="4"/>
  <c r="K42" i="4"/>
  <c r="K43" i="4"/>
  <c r="K40" i="4"/>
  <c r="O36" i="4"/>
  <c r="O34" i="4"/>
  <c r="O33" i="4"/>
  <c r="O35" i="4"/>
  <c r="O32" i="4"/>
  <c r="N36" i="4"/>
  <c r="N35" i="4"/>
  <c r="N34" i="4"/>
  <c r="N33" i="4"/>
  <c r="N32" i="4"/>
  <c r="M36" i="4"/>
  <c r="M33" i="4"/>
  <c r="M34" i="4"/>
  <c r="M35" i="4"/>
  <c r="M32" i="4"/>
  <c r="L35" i="4"/>
  <c r="L36" i="4"/>
  <c r="L34" i="4"/>
  <c r="L33" i="4"/>
  <c r="L32" i="4"/>
  <c r="K36" i="4"/>
  <c r="K35" i="4"/>
  <c r="K34" i="4"/>
  <c r="K33" i="4"/>
  <c r="K32" i="4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30" i="6"/>
  <c r="B40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5" i="6"/>
  <c r="M4" i="4"/>
  <c r="B39" i="6"/>
  <c r="B32" i="6"/>
  <c r="B29" i="1"/>
  <c r="F29" i="1" s="1"/>
  <c r="M5" i="4"/>
  <c r="M6" i="4"/>
  <c r="M7" i="4"/>
  <c r="M8" i="4"/>
  <c r="M9" i="4"/>
  <c r="M10" i="4"/>
  <c r="M11" i="4"/>
  <c r="M12" i="4"/>
  <c r="M13" i="4"/>
  <c r="M14" i="4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4" i="3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4" i="2"/>
  <c r="D11" i="1"/>
  <c r="D12" i="1"/>
  <c r="D13" i="1"/>
  <c r="B3" i="1"/>
  <c r="D3" i="1" s="1"/>
  <c r="B4" i="1"/>
  <c r="D4" i="1" s="1"/>
  <c r="L5" i="1" s="1"/>
  <c r="J49" i="2" s="1"/>
  <c r="B5" i="1"/>
  <c r="D5" i="1" s="1"/>
  <c r="J6" i="1" s="1"/>
  <c r="J42" i="3" s="1"/>
  <c r="B6" i="1"/>
  <c r="D6" i="1" s="1"/>
  <c r="H7" i="1" s="1"/>
  <c r="I35" i="2" s="1"/>
  <c r="J35" i="2" s="1"/>
  <c r="B7" i="1"/>
  <c r="D7" i="1" s="1"/>
  <c r="J8" i="1" s="1"/>
  <c r="J44" i="3" s="1"/>
  <c r="U45" i="6" a="1"/>
  <c r="U43" i="6" a="1"/>
  <c r="P43" i="6" a="1"/>
  <c r="P45" i="6" a="1"/>
  <c r="U41" i="6" a="1"/>
  <c r="U40" i="6" a="1"/>
  <c r="U34" i="6" a="1"/>
  <c r="B41" i="6" a="1"/>
  <c r="P36" i="6" a="1"/>
  <c r="P39" i="6" a="1"/>
  <c r="U36" i="6" a="1"/>
  <c r="P41" i="6" a="1"/>
  <c r="K49" i="2" a="1"/>
  <c r="P38" i="6" a="1"/>
  <c r="U31" i="6" a="1"/>
  <c r="U42" i="6" a="1"/>
  <c r="P40" i="6" a="1"/>
  <c r="P44" i="6" a="1"/>
  <c r="P31" i="6" a="1"/>
  <c r="U44" i="6" a="1"/>
  <c r="P34" i="6" a="1"/>
  <c r="P37" i="6" a="1"/>
  <c r="P33" i="6" a="1"/>
  <c r="U35" i="6" a="1"/>
  <c r="U32" i="6" a="1"/>
  <c r="P42" i="6" a="1"/>
  <c r="U37" i="6" a="1"/>
  <c r="U39" i="6" a="1"/>
  <c r="U33" i="6" a="1"/>
  <c r="K44" i="3" a="1"/>
  <c r="K35" i="2" a="1"/>
  <c r="P30" i="6" a="1"/>
  <c r="U38" i="6" a="1"/>
  <c r="U30" i="6" a="1"/>
  <c r="P35" i="6" a="1"/>
  <c r="P32" i="6" a="1"/>
  <c r="K42" i="3" a="1"/>
  <c r="J4" i="1" l="1"/>
  <c r="J40" i="3" s="1"/>
  <c r="E3" i="1"/>
  <c r="M4" i="1" s="1"/>
  <c r="B41" i="6"/>
  <c r="B42" i="6" s="1"/>
  <c r="B43" i="6" s="1"/>
  <c r="U43" i="6"/>
  <c r="V43" i="6" s="1"/>
  <c r="W43" i="6" s="1"/>
  <c r="U41" i="6"/>
  <c r="V41" i="6" s="1"/>
  <c r="W41" i="6" s="1"/>
  <c r="U30" i="6"/>
  <c r="V30" i="6" s="1"/>
  <c r="W30" i="6" s="1"/>
  <c r="U33" i="6"/>
  <c r="V33" i="6" s="1"/>
  <c r="W33" i="6" s="1"/>
  <c r="U44" i="6"/>
  <c r="V44" i="6" s="1"/>
  <c r="W44" i="6" s="1"/>
  <c r="U42" i="6"/>
  <c r="V42" i="6" s="1"/>
  <c r="W42" i="6" s="1"/>
  <c r="U36" i="6"/>
  <c r="V36" i="6" s="1"/>
  <c r="W36" i="6" s="1"/>
  <c r="U34" i="6"/>
  <c r="V34" i="6" s="1"/>
  <c r="W34" i="6" s="1"/>
  <c r="U45" i="6"/>
  <c r="V45" i="6" s="1"/>
  <c r="W45" i="6" s="1"/>
  <c r="U35" i="6"/>
  <c r="V35" i="6" s="1"/>
  <c r="W35" i="6" s="1"/>
  <c r="U38" i="6"/>
  <c r="V38" i="6" s="1"/>
  <c r="W38" i="6" s="1"/>
  <c r="U39" i="6"/>
  <c r="V39" i="6" s="1"/>
  <c r="W39" i="6" s="1"/>
  <c r="U37" i="6"/>
  <c r="V37" i="6" s="1"/>
  <c r="W37" i="6" s="1"/>
  <c r="U31" i="6"/>
  <c r="V31" i="6" s="1"/>
  <c r="W31" i="6" s="1"/>
  <c r="U32" i="6"/>
  <c r="V32" i="6" s="1"/>
  <c r="W32" i="6" s="1"/>
  <c r="U40" i="6"/>
  <c r="V40" i="6" s="1"/>
  <c r="W40" i="6" s="1"/>
  <c r="P39" i="6"/>
  <c r="Q39" i="6" s="1"/>
  <c r="R39" i="6" s="1"/>
  <c r="P37" i="6"/>
  <c r="Q37" i="6" s="1"/>
  <c r="R37" i="6" s="1"/>
  <c r="P36" i="6"/>
  <c r="Q36" i="6" s="1"/>
  <c r="R36" i="6" s="1"/>
  <c r="P35" i="6"/>
  <c r="Q35" i="6" s="1"/>
  <c r="R35" i="6" s="1"/>
  <c r="P34" i="6"/>
  <c r="Q34" i="6" s="1"/>
  <c r="R34" i="6" s="1"/>
  <c r="P41" i="6"/>
  <c r="Q41" i="6" s="1"/>
  <c r="R41" i="6" s="1"/>
  <c r="P33" i="6"/>
  <c r="Q33" i="6" s="1"/>
  <c r="R33" i="6" s="1"/>
  <c r="P38" i="6"/>
  <c r="Q38" i="6" s="1"/>
  <c r="R38" i="6" s="1"/>
  <c r="P45" i="6"/>
  <c r="Q45" i="6" s="1"/>
  <c r="R45" i="6" s="1"/>
  <c r="P44" i="6"/>
  <c r="Q44" i="6" s="1"/>
  <c r="R44" i="6" s="1"/>
  <c r="P43" i="6"/>
  <c r="Q43" i="6" s="1"/>
  <c r="R43" i="6" s="1"/>
  <c r="P42" i="6"/>
  <c r="Q42" i="6" s="1"/>
  <c r="R42" i="6" s="1"/>
  <c r="P40" i="6"/>
  <c r="Q40" i="6" s="1"/>
  <c r="R40" i="6" s="1"/>
  <c r="P32" i="6"/>
  <c r="Q32" i="6" s="1"/>
  <c r="R32" i="6" s="1"/>
  <c r="P31" i="6"/>
  <c r="Q31" i="6" s="1"/>
  <c r="R31" i="6" s="1"/>
  <c r="P30" i="6"/>
  <c r="Q30" i="6" s="1"/>
  <c r="R30" i="6" s="1"/>
  <c r="B46" i="6"/>
  <c r="B28" i="1"/>
  <c r="B38" i="1"/>
  <c r="E38" i="1" s="1"/>
  <c r="B26" i="1"/>
  <c r="B37" i="1"/>
  <c r="F37" i="1" s="1"/>
  <c r="B25" i="1"/>
  <c r="B36" i="1"/>
  <c r="B22" i="1"/>
  <c r="E22" i="1" s="1"/>
  <c r="B34" i="1"/>
  <c r="B21" i="1"/>
  <c r="D21" i="1" s="1"/>
  <c r="B33" i="1"/>
  <c r="B20" i="1"/>
  <c r="B30" i="1"/>
  <c r="E30" i="1" s="1"/>
  <c r="E37" i="1"/>
  <c r="E29" i="1"/>
  <c r="E21" i="1"/>
  <c r="F34" i="1"/>
  <c r="F26" i="1"/>
  <c r="F33" i="1"/>
  <c r="C21" i="1"/>
  <c r="C22" i="1"/>
  <c r="F25" i="1"/>
  <c r="C37" i="1"/>
  <c r="C29" i="1"/>
  <c r="B35" i="1"/>
  <c r="B27" i="1"/>
  <c r="B19" i="1"/>
  <c r="C28" i="1"/>
  <c r="C20" i="1"/>
  <c r="E34" i="1"/>
  <c r="E26" i="1"/>
  <c r="C38" i="1"/>
  <c r="F38" i="1"/>
  <c r="D37" i="1"/>
  <c r="F21" i="1"/>
  <c r="D38" i="1"/>
  <c r="D30" i="1"/>
  <c r="D29" i="1"/>
  <c r="B32" i="1"/>
  <c r="B24" i="1"/>
  <c r="D36" i="1"/>
  <c r="D28" i="1"/>
  <c r="D20" i="1"/>
  <c r="F30" i="1"/>
  <c r="B18" i="1"/>
  <c r="B31" i="1"/>
  <c r="B23" i="1"/>
  <c r="J44" i="4"/>
  <c r="E7" i="1"/>
  <c r="J40" i="4"/>
  <c r="E5" i="1"/>
  <c r="J35" i="4"/>
  <c r="J49" i="4"/>
  <c r="E4" i="1"/>
  <c r="E6" i="1"/>
  <c r="J42" i="4"/>
  <c r="J35" i="3"/>
  <c r="J49" i="3"/>
  <c r="K42" i="3"/>
  <c r="K44" i="3"/>
  <c r="K35" i="2"/>
  <c r="L4" i="1"/>
  <c r="J48" i="4" s="1"/>
  <c r="L6" i="1"/>
  <c r="J50" i="4" s="1"/>
  <c r="L8" i="1"/>
  <c r="J52" i="4" s="1"/>
  <c r="L7" i="1"/>
  <c r="J51" i="4" s="1"/>
  <c r="K49" i="2"/>
  <c r="J5" i="1"/>
  <c r="J41" i="4" s="1"/>
  <c r="J7" i="1"/>
  <c r="J43" i="4" s="1"/>
  <c r="J40" i="2"/>
  <c r="H6" i="1"/>
  <c r="J34" i="4" s="1"/>
  <c r="J42" i="2"/>
  <c r="H8" i="1"/>
  <c r="J36" i="4" s="1"/>
  <c r="J44" i="2"/>
  <c r="H5" i="1"/>
  <c r="J33" i="4" s="1"/>
  <c r="H4" i="1"/>
  <c r="J32" i="4" s="1"/>
  <c r="L35" i="2" a="1"/>
  <c r="O35" i="2" a="1"/>
  <c r="M49" i="2" a="1"/>
  <c r="L42" i="3" a="1"/>
  <c r="L44" i="3" a="1"/>
  <c r="M42" i="3" a="1"/>
  <c r="N42" i="3" a="1"/>
  <c r="N49" i="2" a="1"/>
  <c r="L49" i="2" a="1"/>
  <c r="K42" i="2" a="1"/>
  <c r="N44" i="3" a="1"/>
  <c r="K40" i="3" a="1"/>
  <c r="M44" i="3" a="1"/>
  <c r="O44" i="3" a="1"/>
  <c r="O49" i="2" a="1"/>
  <c r="K44" i="2" a="1"/>
  <c r="K35" i="3" a="1"/>
  <c r="K40" i="2" a="1"/>
  <c r="O42" i="3" a="1"/>
  <c r="N35" i="2" a="1"/>
  <c r="K49" i="3" a="1"/>
  <c r="M35" i="2" a="1"/>
  <c r="K40" i="3" l="1"/>
  <c r="B48" i="6"/>
  <c r="B47" i="6"/>
  <c r="F36" i="1"/>
  <c r="E36" i="1"/>
  <c r="C36" i="1"/>
  <c r="C25" i="1"/>
  <c r="E25" i="1"/>
  <c r="D25" i="1"/>
  <c r="F20" i="1"/>
  <c r="E20" i="1"/>
  <c r="F22" i="1"/>
  <c r="C30" i="1"/>
  <c r="C33" i="1"/>
  <c r="D33" i="1"/>
  <c r="E33" i="1"/>
  <c r="C26" i="1"/>
  <c r="D26" i="1"/>
  <c r="D22" i="1"/>
  <c r="C34" i="1"/>
  <c r="D34" i="1"/>
  <c r="F28" i="1"/>
  <c r="E28" i="1"/>
  <c r="C24" i="1"/>
  <c r="E24" i="1"/>
  <c r="D24" i="1"/>
  <c r="F24" i="1"/>
  <c r="E23" i="1"/>
  <c r="F23" i="1"/>
  <c r="D23" i="1"/>
  <c r="C23" i="1"/>
  <c r="C32" i="1"/>
  <c r="E32" i="1"/>
  <c r="F32" i="1"/>
  <c r="D32" i="1"/>
  <c r="F27" i="1"/>
  <c r="D27" i="1"/>
  <c r="C27" i="1"/>
  <c r="E27" i="1"/>
  <c r="E31" i="1"/>
  <c r="F31" i="1"/>
  <c r="D31" i="1"/>
  <c r="C31" i="1"/>
  <c r="F35" i="1"/>
  <c r="D35" i="1"/>
  <c r="C35" i="1"/>
  <c r="E35" i="1"/>
  <c r="F19" i="1"/>
  <c r="D19" i="1"/>
  <c r="C19" i="1"/>
  <c r="E19" i="1"/>
  <c r="E18" i="1"/>
  <c r="D18" i="1"/>
  <c r="F18" i="1"/>
  <c r="C18" i="1"/>
  <c r="K49" i="3"/>
  <c r="K35" i="3"/>
  <c r="J50" i="2"/>
  <c r="J50" i="3"/>
  <c r="J48" i="2"/>
  <c r="J48" i="3"/>
  <c r="J43" i="2"/>
  <c r="J43" i="3"/>
  <c r="I32" i="2"/>
  <c r="J32" i="2" s="1"/>
  <c r="J32" i="3"/>
  <c r="J51" i="2"/>
  <c r="J51" i="3"/>
  <c r="I34" i="2"/>
  <c r="J34" i="2" s="1"/>
  <c r="J34" i="3"/>
  <c r="J41" i="2"/>
  <c r="J41" i="3"/>
  <c r="I33" i="2"/>
  <c r="J33" i="2" s="1"/>
  <c r="J33" i="3"/>
  <c r="I36" i="2"/>
  <c r="J36" i="2" s="1"/>
  <c r="J36" i="3"/>
  <c r="J52" i="2"/>
  <c r="J52" i="3"/>
  <c r="M44" i="3"/>
  <c r="L44" i="3"/>
  <c r="O44" i="3"/>
  <c r="Q44" i="3" s="1"/>
  <c r="N44" i="3"/>
  <c r="P44" i="3" s="1"/>
  <c r="N42" i="3"/>
  <c r="P42" i="3" s="1"/>
  <c r="M42" i="3"/>
  <c r="L42" i="3"/>
  <c r="O42" i="3"/>
  <c r="Q42" i="3" s="1"/>
  <c r="O35" i="2"/>
  <c r="Q35" i="2" s="1"/>
  <c r="N35" i="2"/>
  <c r="P35" i="2" s="1"/>
  <c r="M35" i="2"/>
  <c r="L35" i="2"/>
  <c r="K40" i="2"/>
  <c r="K42" i="2"/>
  <c r="K44" i="2"/>
  <c r="K6" i="1"/>
  <c r="M6" i="1"/>
  <c r="K8" i="1"/>
  <c r="M8" i="1"/>
  <c r="K7" i="1"/>
  <c r="M7" i="1"/>
  <c r="K5" i="1"/>
  <c r="M5" i="1"/>
  <c r="N49" i="2"/>
  <c r="P49" i="2" s="1"/>
  <c r="M49" i="2"/>
  <c r="L49" i="2"/>
  <c r="O49" i="2"/>
  <c r="Q49" i="2" s="1"/>
  <c r="K4" i="1"/>
  <c r="I4" i="1"/>
  <c r="I7" i="1"/>
  <c r="I8" i="1"/>
  <c r="I5" i="1"/>
  <c r="I6" i="1"/>
  <c r="N42" i="2" a="1"/>
  <c r="O44" i="2" a="1"/>
  <c r="M49" i="3" a="1"/>
  <c r="K32" i="3" a="1"/>
  <c r="L40" i="2" a="1"/>
  <c r="K51" i="3" a="1"/>
  <c r="O49" i="3" a="1"/>
  <c r="N49" i="3" a="1"/>
  <c r="N35" i="3" a="1"/>
  <c r="K52" i="2" a="1"/>
  <c r="K52" i="3" a="1"/>
  <c r="K32" i="2" a="1"/>
  <c r="N40" i="3" a="1"/>
  <c r="L35" i="3" a="1"/>
  <c r="O35" i="3" a="1"/>
  <c r="K51" i="2" a="1"/>
  <c r="M44" i="2" a="1"/>
  <c r="K50" i="3" a="1"/>
  <c r="K41" i="3" a="1"/>
  <c r="K48" i="3" a="1"/>
  <c r="K41" i="2" a="1"/>
  <c r="K50" i="2" a="1"/>
  <c r="K43" i="3" a="1"/>
  <c r="M40" i="2" a="1"/>
  <c r="N44" i="2" a="1"/>
  <c r="O40" i="3" a="1"/>
  <c r="K36" i="2" a="1"/>
  <c r="M40" i="3" a="1"/>
  <c r="K36" i="3" a="1"/>
  <c r="K34" i="3" a="1"/>
  <c r="M42" i="2" a="1"/>
  <c r="K34" i="2" a="1"/>
  <c r="L49" i="3" a="1"/>
  <c r="K43" i="2" a="1"/>
  <c r="L40" i="3" a="1"/>
  <c r="L44" i="2" a="1"/>
  <c r="L42" i="2" a="1"/>
  <c r="O42" i="2" a="1"/>
  <c r="K33" i="3" a="1"/>
  <c r="K48" i="2" a="1"/>
  <c r="M35" i="3" a="1"/>
  <c r="O40" i="2" a="1"/>
  <c r="K33" i="2" a="1"/>
  <c r="N40" i="2" a="1"/>
  <c r="N40" i="3" l="1"/>
  <c r="P40" i="3" s="1"/>
  <c r="O40" i="3"/>
  <c r="Q40" i="3" s="1"/>
  <c r="L40" i="3"/>
  <c r="M40" i="3"/>
  <c r="E42" i="6"/>
  <c r="F42" i="6" s="1"/>
  <c r="E48" i="6"/>
  <c r="F48" i="6" s="1"/>
  <c r="E35" i="6"/>
  <c r="F35" i="6" s="1"/>
  <c r="E31" i="6"/>
  <c r="F31" i="6" s="1"/>
  <c r="E43" i="6"/>
  <c r="F43" i="6" s="1"/>
  <c r="E40" i="6"/>
  <c r="F40" i="6" s="1"/>
  <c r="E39" i="6"/>
  <c r="F39" i="6" s="1"/>
  <c r="E32" i="6"/>
  <c r="F32" i="6" s="1"/>
  <c r="E33" i="6"/>
  <c r="F33" i="6" s="1"/>
  <c r="E46" i="6"/>
  <c r="F46" i="6" s="1"/>
  <c r="E41" i="6"/>
  <c r="F41" i="6" s="1"/>
  <c r="E38" i="6"/>
  <c r="F38" i="6" s="1"/>
  <c r="E34" i="6"/>
  <c r="F34" i="6" s="1"/>
  <c r="E45" i="6"/>
  <c r="F45" i="6" s="1"/>
  <c r="E36" i="6"/>
  <c r="F36" i="6" s="1"/>
  <c r="E37" i="6"/>
  <c r="F37" i="6" s="1"/>
  <c r="E47" i="6"/>
  <c r="F47" i="6" s="1"/>
  <c r="E30" i="6"/>
  <c r="F30" i="6" s="1"/>
  <c r="E44" i="6"/>
  <c r="F44" i="6" s="1"/>
  <c r="Q44" i="4"/>
  <c r="P44" i="4"/>
  <c r="P51" i="4"/>
  <c r="Q51" i="4"/>
  <c r="P33" i="4"/>
  <c r="Q33" i="4"/>
  <c r="Q48" i="4"/>
  <c r="P48" i="4"/>
  <c r="P41" i="4"/>
  <c r="Q41" i="4"/>
  <c r="P32" i="4"/>
  <c r="Q32" i="4"/>
  <c r="P52" i="4"/>
  <c r="Q52" i="4"/>
  <c r="P43" i="4"/>
  <c r="Q43" i="4"/>
  <c r="P35" i="4"/>
  <c r="Q35" i="4"/>
  <c r="P40" i="4"/>
  <c r="Q40" i="4"/>
  <c r="P49" i="4"/>
  <c r="Q49" i="4"/>
  <c r="Q34" i="4"/>
  <c r="P34" i="4"/>
  <c r="P50" i="4"/>
  <c r="Q50" i="4"/>
  <c r="P36" i="4"/>
  <c r="Q36" i="4"/>
  <c r="Q42" i="4"/>
  <c r="P42" i="4"/>
  <c r="K43" i="3"/>
  <c r="K34" i="3"/>
  <c r="K36" i="3"/>
  <c r="K51" i="3"/>
  <c r="K50" i="3"/>
  <c r="K41" i="3"/>
  <c r="K52" i="2"/>
  <c r="K36" i="2"/>
  <c r="K51" i="2"/>
  <c r="K50" i="2"/>
  <c r="K41" i="2"/>
  <c r="K48" i="3"/>
  <c r="K48" i="2"/>
  <c r="K33" i="3"/>
  <c r="K32" i="3"/>
  <c r="M35" i="3"/>
  <c r="N35" i="3"/>
  <c r="P35" i="3" s="1"/>
  <c r="O35" i="3"/>
  <c r="Q35" i="3" s="1"/>
  <c r="L35" i="3"/>
  <c r="K43" i="2"/>
  <c r="K52" i="3"/>
  <c r="K34" i="2"/>
  <c r="K33" i="2"/>
  <c r="K32" i="2"/>
  <c r="M49" i="3"/>
  <c r="N49" i="3"/>
  <c r="P49" i="3" s="1"/>
  <c r="O49" i="3"/>
  <c r="Q49" i="3" s="1"/>
  <c r="L49" i="3"/>
  <c r="O44" i="2"/>
  <c r="Q44" i="2" s="1"/>
  <c r="L44" i="2"/>
  <c r="M44" i="2"/>
  <c r="N44" i="2"/>
  <c r="P44" i="2" s="1"/>
  <c r="M42" i="2"/>
  <c r="N42" i="2"/>
  <c r="P42" i="2" s="1"/>
  <c r="O42" i="2"/>
  <c r="Q42" i="2" s="1"/>
  <c r="L42" i="2"/>
  <c r="L40" i="2"/>
  <c r="O40" i="2"/>
  <c r="Q40" i="2" s="1"/>
  <c r="M40" i="2"/>
  <c r="N40" i="2"/>
  <c r="P40" i="2" s="1"/>
  <c r="M34" i="2" a="1"/>
  <c r="M34" i="3" a="1"/>
  <c r="L41" i="2" a="1"/>
  <c r="M32" i="2" a="1"/>
  <c r="M51" i="3" a="1"/>
  <c r="N48" i="2" a="1"/>
  <c r="M36" i="3" a="1"/>
  <c r="M43" i="3" a="1"/>
  <c r="O36" i="2" a="1"/>
  <c r="L34" i="2" a="1"/>
  <c r="N41" i="2" a="1"/>
  <c r="O50" i="3" a="1"/>
  <c r="N48" i="3" a="1"/>
  <c r="N43" i="3" a="1"/>
  <c r="M52" i="2" a="1"/>
  <c r="M32" i="3" a="1"/>
  <c r="L36" i="3" a="1"/>
  <c r="M51" i="2" a="1"/>
  <c r="L32" i="3" a="1"/>
  <c r="L50" i="3" a="1"/>
  <c r="O48" i="2" a="1"/>
  <c r="N41" i="3" a="1"/>
  <c r="O48" i="3" a="1"/>
  <c r="O33" i="3" a="1"/>
  <c r="O34" i="2" a="1"/>
  <c r="O51" i="2" a="1"/>
  <c r="M33" i="2" a="1"/>
  <c r="O32" i="3" a="1"/>
  <c r="M36" i="2" a="1"/>
  <c r="N50" i="2" a="1"/>
  <c r="N32" i="2" a="1"/>
  <c r="L41" i="3" a="1"/>
  <c r="O41" i="3" a="1"/>
  <c r="N33" i="2" a="1"/>
  <c r="N52" i="3" a="1"/>
  <c r="O43" i="2" a="1"/>
  <c r="N52" i="2" a="1"/>
  <c r="O52" i="2" a="1"/>
  <c r="N51" i="3" a="1"/>
  <c r="L52" i="2" a="1"/>
  <c r="L34" i="3" a="1"/>
  <c r="O50" i="2" a="1"/>
  <c r="M50" i="2" a="1"/>
  <c r="M48" i="3" a="1"/>
  <c r="L48" i="2" a="1"/>
  <c r="N34" i="2" a="1"/>
  <c r="M41" i="3" a="1"/>
  <c r="N43" i="2" a="1"/>
  <c r="L43" i="3" a="1"/>
  <c r="N33" i="3" a="1"/>
  <c r="L32" i="2" a="1"/>
  <c r="N34" i="3" a="1"/>
  <c r="O33" i="2" a="1"/>
  <c r="L51" i="3" a="1"/>
  <c r="M33" i="3" a="1"/>
  <c r="O43" i="3" a="1"/>
  <c r="N36" i="2" a="1"/>
  <c r="N32" i="3" a="1"/>
  <c r="L43" i="2" a="1"/>
  <c r="N36" i="3" a="1"/>
  <c r="L36" i="2" a="1"/>
  <c r="M43" i="2" a="1"/>
  <c r="O51" i="3" a="1"/>
  <c r="N51" i="2" a="1"/>
  <c r="O41" i="2" a="1"/>
  <c r="N50" i="3" a="1"/>
  <c r="O52" i="3" a="1"/>
  <c r="L52" i="3" a="1"/>
  <c r="L50" i="2" a="1"/>
  <c r="M50" i="3" a="1"/>
  <c r="O32" i="2" a="1"/>
  <c r="L48" i="3" a="1"/>
  <c r="L33" i="3" a="1"/>
  <c r="O36" i="3" a="1"/>
  <c r="M52" i="3" a="1"/>
  <c r="M48" i="2" a="1"/>
  <c r="L51" i="2" a="1"/>
  <c r="L33" i="2" a="1"/>
  <c r="O34" i="3" a="1"/>
  <c r="M41" i="2" a="1"/>
  <c r="G33" i="6" l="1"/>
  <c r="H33" i="6" s="1"/>
  <c r="G38" i="6"/>
  <c r="H38" i="6" s="1"/>
  <c r="G36" i="6"/>
  <c r="H36" i="6" s="1"/>
  <c r="G42" i="6"/>
  <c r="H42" i="6" s="1"/>
  <c r="G48" i="6"/>
  <c r="H48" i="6" s="1"/>
  <c r="G37" i="6"/>
  <c r="H37" i="6" s="1"/>
  <c r="G43" i="6"/>
  <c r="H43" i="6" s="1"/>
  <c r="G47" i="6"/>
  <c r="H47" i="6" s="1"/>
  <c r="G41" i="6"/>
  <c r="H41" i="6" s="1"/>
  <c r="G40" i="6"/>
  <c r="H40" i="6" s="1"/>
  <c r="G32" i="6"/>
  <c r="H32" i="6" s="1"/>
  <c r="G39" i="6"/>
  <c r="H39" i="6" s="1"/>
  <c r="G46" i="6"/>
  <c r="H46" i="6" s="1"/>
  <c r="G45" i="6"/>
  <c r="H45" i="6" s="1"/>
  <c r="G31" i="6"/>
  <c r="H31" i="6" s="1"/>
  <c r="G30" i="6"/>
  <c r="H30" i="6" s="1"/>
  <c r="G35" i="6"/>
  <c r="H35" i="6" s="1"/>
  <c r="G44" i="6"/>
  <c r="H44" i="6" s="1"/>
  <c r="G34" i="6"/>
  <c r="H34" i="6" s="1"/>
  <c r="O32" i="2"/>
  <c r="Q32" i="2" s="1"/>
  <c r="L32" i="2"/>
  <c r="N32" i="2"/>
  <c r="P32" i="2" s="1"/>
  <c r="M32" i="2"/>
  <c r="L36" i="2"/>
  <c r="N36" i="2"/>
  <c r="P36" i="2" s="1"/>
  <c r="M36" i="2"/>
  <c r="O36" i="2"/>
  <c r="Q36" i="2" s="1"/>
  <c r="M33" i="2"/>
  <c r="N33" i="2"/>
  <c r="P33" i="2" s="1"/>
  <c r="O33" i="2"/>
  <c r="Q33" i="2" s="1"/>
  <c r="L33" i="2"/>
  <c r="N33" i="3"/>
  <c r="P33" i="3" s="1"/>
  <c r="O33" i="3"/>
  <c r="Q33" i="3" s="1"/>
  <c r="L33" i="3"/>
  <c r="M33" i="3"/>
  <c r="N50" i="3"/>
  <c r="P50" i="3" s="1"/>
  <c r="O50" i="3"/>
  <c r="Q50" i="3" s="1"/>
  <c r="L50" i="3"/>
  <c r="M50" i="3"/>
  <c r="O43" i="2"/>
  <c r="Q43" i="2" s="1"/>
  <c r="M43" i="2"/>
  <c r="N43" i="2"/>
  <c r="P43" i="2" s="1"/>
  <c r="L43" i="2"/>
  <c r="L51" i="3"/>
  <c r="M51" i="3"/>
  <c r="N51" i="3"/>
  <c r="P51" i="3" s="1"/>
  <c r="O51" i="3"/>
  <c r="Q51" i="3" s="1"/>
  <c r="N50" i="2"/>
  <c r="P50" i="2" s="1"/>
  <c r="M50" i="2"/>
  <c r="L50" i="2"/>
  <c r="O50" i="2"/>
  <c r="Q50" i="2" s="1"/>
  <c r="L34" i="3"/>
  <c r="O34" i="3"/>
  <c r="Q34" i="3" s="1"/>
  <c r="M34" i="3"/>
  <c r="N34" i="3"/>
  <c r="P34" i="3" s="1"/>
  <c r="L32" i="3"/>
  <c r="M32" i="3"/>
  <c r="N32" i="3"/>
  <c r="P32" i="3" s="1"/>
  <c r="O32" i="3"/>
  <c r="Q32" i="3" s="1"/>
  <c r="M52" i="2"/>
  <c r="N52" i="2"/>
  <c r="P52" i="2" s="1"/>
  <c r="L52" i="2"/>
  <c r="O52" i="2"/>
  <c r="Q52" i="2" s="1"/>
  <c r="M34" i="2"/>
  <c r="L34" i="2"/>
  <c r="N34" i="2"/>
  <c r="P34" i="2" s="1"/>
  <c r="O34" i="2"/>
  <c r="Q34" i="2" s="1"/>
  <c r="N41" i="3"/>
  <c r="P41" i="3" s="1"/>
  <c r="M41" i="3"/>
  <c r="O41" i="3"/>
  <c r="Q41" i="3" s="1"/>
  <c r="L41" i="3"/>
  <c r="M52" i="3"/>
  <c r="N52" i="3"/>
  <c r="P52" i="3" s="1"/>
  <c r="O52" i="3"/>
  <c r="Q52" i="3" s="1"/>
  <c r="L52" i="3"/>
  <c r="N48" i="2"/>
  <c r="P48" i="2" s="1"/>
  <c r="L48" i="2"/>
  <c r="M48" i="2"/>
  <c r="O48" i="2"/>
  <c r="Q48" i="2" s="1"/>
  <c r="L48" i="3"/>
  <c r="O48" i="3"/>
  <c r="Q48" i="3" s="1"/>
  <c r="M48" i="3"/>
  <c r="N48" i="3"/>
  <c r="P48" i="3" s="1"/>
  <c r="M41" i="2"/>
  <c r="O41" i="2"/>
  <c r="Q41" i="2" s="1"/>
  <c r="N41" i="2"/>
  <c r="P41" i="2" s="1"/>
  <c r="L41" i="2"/>
  <c r="N36" i="3"/>
  <c r="P36" i="3" s="1"/>
  <c r="O36" i="3"/>
  <c r="Q36" i="3" s="1"/>
  <c r="L36" i="3"/>
  <c r="M36" i="3"/>
  <c r="O51" i="2"/>
  <c r="Q51" i="2" s="1"/>
  <c r="N51" i="2"/>
  <c r="P51" i="2" s="1"/>
  <c r="M51" i="2"/>
  <c r="L51" i="2"/>
  <c r="L43" i="3"/>
  <c r="M43" i="3"/>
  <c r="N43" i="3"/>
  <c r="P43" i="3" s="1"/>
  <c r="O43" i="3"/>
  <c r="Q43" i="3" s="1"/>
  <c r="J39" i="6" l="1"/>
  <c r="K39" i="6" s="1"/>
  <c r="L39" i="6" s="1"/>
  <c r="I39" i="6"/>
  <c r="J42" i="6"/>
  <c r="K42" i="6" s="1"/>
  <c r="L42" i="6" s="1"/>
  <c r="I42" i="6"/>
  <c r="J32" i="6"/>
  <c r="K32" i="6" s="1"/>
  <c r="L32" i="6" s="1"/>
  <c r="I32" i="6"/>
  <c r="J37" i="6"/>
  <c r="K37" i="6" s="1"/>
  <c r="L37" i="6" s="1"/>
  <c r="I37" i="6"/>
  <c r="J38" i="6"/>
  <c r="K38" i="6" s="1"/>
  <c r="L38" i="6" s="1"/>
  <c r="I38" i="6"/>
  <c r="J44" i="6"/>
  <c r="K44" i="6" s="1"/>
  <c r="L44" i="6" s="1"/>
  <c r="I44" i="6"/>
  <c r="J45" i="6"/>
  <c r="K45" i="6" s="1"/>
  <c r="L45" i="6" s="1"/>
  <c r="I45" i="6"/>
  <c r="J40" i="6"/>
  <c r="K40" i="6" s="1"/>
  <c r="L40" i="6" s="1"/>
  <c r="I40" i="6"/>
  <c r="J30" i="6"/>
  <c r="K30" i="6" s="1"/>
  <c r="L30" i="6" s="1"/>
  <c r="I30" i="6"/>
  <c r="J31" i="6"/>
  <c r="K31" i="6" s="1"/>
  <c r="L31" i="6" s="1"/>
  <c r="I31" i="6"/>
  <c r="J34" i="6"/>
  <c r="K34" i="6" s="1"/>
  <c r="L34" i="6" s="1"/>
  <c r="I34" i="6"/>
  <c r="J36" i="6"/>
  <c r="K36" i="6" s="1"/>
  <c r="L36" i="6" s="1"/>
  <c r="I36" i="6"/>
  <c r="J35" i="6"/>
  <c r="K35" i="6" s="1"/>
  <c r="L35" i="6" s="1"/>
  <c r="I35" i="6"/>
  <c r="J48" i="6"/>
  <c r="K48" i="6" s="1"/>
  <c r="L48" i="6" s="1"/>
  <c r="I48" i="6"/>
  <c r="J47" i="6"/>
  <c r="K47" i="6" s="1"/>
  <c r="L47" i="6" s="1"/>
  <c r="I47" i="6"/>
  <c r="J43" i="6"/>
  <c r="K43" i="6" s="1"/>
  <c r="L43" i="6" s="1"/>
  <c r="I43" i="6"/>
  <c r="J46" i="6"/>
  <c r="K46" i="6" s="1"/>
  <c r="L46" i="6" s="1"/>
  <c r="I46" i="6"/>
  <c r="J41" i="6"/>
  <c r="K41" i="6" s="1"/>
  <c r="L41" i="6" s="1"/>
  <c r="I41" i="6"/>
  <c r="J33" i="6"/>
  <c r="K33" i="6" s="1"/>
  <c r="L33" i="6" s="1"/>
  <c r="I3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45" authorId="0" shapeId="0" xr:uid="{F8EC2F70-EC62-4800-8352-43E25859D624}">
      <text>
        <r>
          <rPr>
            <sz val="10"/>
            <color rgb="FF000000"/>
            <rFont val="Arial"/>
            <family val="2"/>
          </rPr>
          <t>A control ratio under 1 means the UAV cannot take-off. A control ratio of exactly 1 means the UAV can barely stay in the air but will not be stable. Aim for 1.2 or higher. A high value is better for fast maneuvers and stability in high winds. Also consider the total power requirement and check the battery can safely provide this power.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<sst xmlns="http://schemas.openxmlformats.org/spreadsheetml/2006/main" count="237" uniqueCount="86">
  <si>
    <t>Thrust Factor</t>
  </si>
  <si>
    <t>P_req (W)</t>
  </si>
  <si>
    <t>Diameter (in)</t>
  </si>
  <si>
    <t>Pitch (in)</t>
  </si>
  <si>
    <t>Swept Area (m^2)</t>
  </si>
  <si>
    <t>i_max (A)</t>
  </si>
  <si>
    <t>Time (s)</t>
  </si>
  <si>
    <t>Thrust (kgf)</t>
  </si>
  <si>
    <t>Voltage (V)</t>
  </si>
  <si>
    <t>Current (A)</t>
  </si>
  <si>
    <t>Electrical power (W)</t>
  </si>
  <si>
    <t>Mechanical power (W)</t>
  </si>
  <si>
    <t>Motor &amp; ESC efficiency (%)</t>
  </si>
  <si>
    <t>Propeller efficiency (gf/W)</t>
  </si>
  <si>
    <t>Propulsion system efficiency (gf/W)</t>
  </si>
  <si>
    <t>T_req per prop (N)</t>
  </si>
  <si>
    <t>P_req per prop (W)</t>
  </si>
  <si>
    <t>RPM_req</t>
  </si>
  <si>
    <t>Weight (lbs)</t>
  </si>
  <si>
    <t>V_req per prop (V)</t>
  </si>
  <si>
    <t>P_elec (W)</t>
  </si>
  <si>
    <t>P_shaft (W)</t>
  </si>
  <si>
    <t>i_req per prop (A)</t>
  </si>
  <si>
    <t>Weight (kg)</t>
  </si>
  <si>
    <t>Possible Configurations and Specifications</t>
  </si>
  <si>
    <t>Propeller</t>
  </si>
  <si>
    <t>T-motor CF 16x5.4</t>
  </si>
  <si>
    <t>T-motor CF 20x6</t>
  </si>
  <si>
    <t>T-motor CF 18x6.1</t>
  </si>
  <si>
    <t>Possible Propeller-Motor Combos</t>
  </si>
  <si>
    <t>Motor</t>
  </si>
  <si>
    <t>U7-V2.0 Power Type UAV Motor KV490</t>
  </si>
  <si>
    <t>Hexacopter Values</t>
  </si>
  <si>
    <t>T_req(N)</t>
  </si>
  <si>
    <t>Quadcopter Values</t>
  </si>
  <si>
    <t>Possible Propeller Configurations and Required Outputs</t>
  </si>
  <si>
    <t>Hexacopter</t>
  </si>
  <si>
    <t>Quadcopter</t>
  </si>
  <si>
    <t>P_req per prop (N)</t>
  </si>
  <si>
    <t>Octacopter</t>
  </si>
  <si>
    <t>Octacopter Values</t>
  </si>
  <si>
    <t>Throttle (µs)</t>
  </si>
  <si>
    <t>Rotation speed (rpm)</t>
  </si>
  <si>
    <t>Torque (N⋅m)</t>
  </si>
  <si>
    <t>P_elec total (W)</t>
  </si>
  <si>
    <t>P_shaft total (W)</t>
  </si>
  <si>
    <t>?</t>
  </si>
  <si>
    <t>T-Motor Antigravity 7005-230</t>
  </si>
  <si>
    <t>T-motor P16x5.4</t>
  </si>
  <si>
    <t>T-motor P20x6</t>
  </si>
  <si>
    <t>T-motor P18x6.1</t>
  </si>
  <si>
    <t>Data at 25 lbs</t>
  </si>
  <si>
    <t>Thrust (lbf)</t>
  </si>
  <si>
    <t>T_req per prop (lbf)</t>
  </si>
  <si>
    <t>Test data</t>
  </si>
  <si>
    <t>PWM throttle signal (µs)</t>
  </si>
  <si>
    <t>Battery info</t>
  </si>
  <si>
    <t>Battery weight ratio</t>
  </si>
  <si>
    <t>Battery capacity (Wh)</t>
  </si>
  <si>
    <t>Control ratio</t>
  </si>
  <si>
    <t>W/Prop</t>
  </si>
  <si>
    <t>Total power (W)</t>
  </si>
  <si>
    <t>Flight time (hh:mm:ss)</t>
  </si>
  <si>
    <t>UAV/Drone info</t>
  </si>
  <si>
    <t>Number of propellers</t>
  </si>
  <si>
    <t>Flight time calculation</t>
  </si>
  <si>
    <t>Feasability check</t>
  </si>
  <si>
    <t>Weight without battery (lbs)</t>
  </si>
  <si>
    <t xml:space="preserve">Battery weight (lbs) </t>
  </si>
  <si>
    <t>Battery energy density (Wh/lbs)</t>
  </si>
  <si>
    <t>Total weight (lbs)</t>
  </si>
  <si>
    <t>Thrust / Prop @ Hover (lbf)</t>
  </si>
  <si>
    <t>Max thrust (lbf)</t>
  </si>
  <si>
    <t>Battery weight (lbs)</t>
  </si>
  <si>
    <t>Max battery weight (lbs)</t>
  </si>
  <si>
    <t>Total Power (W)</t>
  </si>
  <si>
    <t>One Battery</t>
  </si>
  <si>
    <t xml:space="preserve">Flight time (h:mm:ss) </t>
  </si>
  <si>
    <t>Flight time (h:mm:ss)</t>
  </si>
  <si>
    <t>T-Motor Antigravity 7005 kV230 with T-Motor P18x61</t>
  </si>
  <si>
    <t>T-Motor Antigravity 7005 kV230 with T-Motor P20x6</t>
  </si>
  <si>
    <t>T-Motor U7 490kV with T-Motor P16x54 (Current)</t>
  </si>
  <si>
    <t>Two Batteries</t>
  </si>
  <si>
    <t>Two Batteries, T-Motor Antigravity 7005 kV230 with T-Motor P20x6</t>
  </si>
  <si>
    <t>Two Batteries, T-Motor Antigravity 7005 kV230 with T-Motor P18x61</t>
  </si>
  <si>
    <t>System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</si>
</sst>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h]:mm:ss;@"/>
    <numFmt numFmtId="166" formatCode="h:mm:ss;@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8"/>
      <name val="Aptos Narrow"/>
      <family val="2"/>
      <scheme val="minor"/>
    </font>
    <font>
      <sz val="10"/>
      <color rgb="FF000000"/>
      <name val="Arial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7B7B7"/>
        <bgColor rgb="FFB7B7B7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FFFF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</fills>
  <borders count="3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rgb="FF000000"/>
      </bottom>
      <diagonal/>
    </border>
    <border>
      <left style="thick">
        <color indexed="64"/>
      </left>
      <right style="thick">
        <color indexed="64"/>
      </right>
      <top style="thin">
        <color rgb="FF000000"/>
      </top>
      <bottom style="thin">
        <color rgb="FF000000"/>
      </bottom>
      <diagonal/>
    </border>
    <border>
      <left style="thick">
        <color indexed="64"/>
      </left>
      <right style="thick">
        <color indexed="64"/>
      </right>
      <top style="thin">
        <color rgb="FF000000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rgb="FF000000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 style="thin">
        <color rgb="FF000000"/>
      </bottom>
      <diagonal/>
    </border>
    <border>
      <left/>
      <right style="thick">
        <color indexed="64"/>
      </right>
      <top style="thin">
        <color rgb="FF000000"/>
      </top>
      <bottom style="thin">
        <color rgb="FF000000"/>
      </bottom>
      <diagonal/>
    </border>
    <border>
      <left/>
      <right style="thick">
        <color indexed="64"/>
      </right>
      <top style="thin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/>
      <bottom/>
      <diagonal/>
    </border>
    <border>
      <left style="medium">
        <color rgb="FF000000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0" borderId="2" xfId="0" applyBorder="1"/>
    <xf numFmtId="0" fontId="0" fillId="3" borderId="0" xfId="0" applyFill="1" applyAlignment="1">
      <alignment horizontal="center"/>
    </xf>
    <xf numFmtId="0" fontId="0" fillId="3" borderId="0" xfId="0" applyFill="1"/>
    <xf numFmtId="0" fontId="4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0" fillId="0" borderId="11" xfId="0" applyBorder="1"/>
    <xf numFmtId="165" fontId="0" fillId="0" borderId="0" xfId="0" applyNumberFormat="1"/>
    <xf numFmtId="0" fontId="4" fillId="6" borderId="1" xfId="0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wrapText="1"/>
    </xf>
    <xf numFmtId="0" fontId="4" fillId="6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5" borderId="0" xfId="0" applyFont="1" applyFill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2" fontId="4" fillId="0" borderId="15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" fontId="4" fillId="0" borderId="13" xfId="0" applyNumberFormat="1" applyFont="1" applyBorder="1" applyAlignment="1">
      <alignment horizontal="center" vertical="center"/>
    </xf>
    <xf numFmtId="1" fontId="4" fillId="0" borderId="16" xfId="0" applyNumberFormat="1" applyFont="1" applyBorder="1" applyAlignment="1">
      <alignment horizontal="center" vertical="center"/>
    </xf>
    <xf numFmtId="1" fontId="4" fillId="0" borderId="17" xfId="0" applyNumberFormat="1" applyFont="1" applyBorder="1" applyAlignment="1">
      <alignment horizontal="center" vertical="center"/>
    </xf>
    <xf numFmtId="1" fontId="4" fillId="0" borderId="14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4" fontId="4" fillId="0" borderId="14" xfId="0" applyNumberFormat="1" applyFont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6" fontId="0" fillId="0" borderId="18" xfId="0" applyNumberFormat="1" applyBorder="1"/>
    <xf numFmtId="166" fontId="0" fillId="0" borderId="19" xfId="0" applyNumberFormat="1" applyBorder="1"/>
    <xf numFmtId="0" fontId="0" fillId="8" borderId="1" xfId="0" applyFill="1" applyBorder="1"/>
    <xf numFmtId="0" fontId="0" fillId="0" borderId="20" xfId="0" applyBorder="1"/>
    <xf numFmtId="0" fontId="0" fillId="0" borderId="21" xfId="0" applyBorder="1"/>
    <xf numFmtId="0" fontId="0" fillId="0" borderId="17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17" xfId="0" applyNumberFormat="1" applyBorder="1"/>
    <xf numFmtId="46" fontId="4" fillId="0" borderId="26" xfId="0" applyNumberFormat="1" applyFont="1" applyBorder="1" applyAlignment="1">
      <alignment horizontal="center" vertical="center"/>
    </xf>
    <xf numFmtId="46" fontId="4" fillId="0" borderId="27" xfId="0" applyNumberFormat="1" applyFont="1" applyBorder="1" applyAlignment="1">
      <alignment horizontal="center" vertical="center"/>
    </xf>
    <xf numFmtId="46" fontId="4" fillId="0" borderId="28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2" fontId="4" fillId="7" borderId="21" xfId="0" applyNumberFormat="1" applyFont="1" applyFill="1" applyBorder="1" applyAlignment="1">
      <alignment horizontal="center" vertical="center"/>
    </xf>
    <xf numFmtId="4" fontId="4" fillId="7" borderId="21" xfId="0" applyNumberFormat="1" applyFont="1" applyFill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 wrapText="1"/>
    </xf>
    <xf numFmtId="2" fontId="4" fillId="0" borderId="17" xfId="0" applyNumberFormat="1" applyFont="1" applyBorder="1" applyAlignment="1">
      <alignment horizontal="center" vertical="center"/>
    </xf>
    <xf numFmtId="46" fontId="4" fillId="7" borderId="17" xfId="0" applyNumberFormat="1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" fontId="4" fillId="4" borderId="17" xfId="0" applyNumberFormat="1" applyFont="1" applyFill="1" applyBorder="1" applyAlignment="1">
      <alignment horizontal="center" vertical="center"/>
    </xf>
    <xf numFmtId="0" fontId="0" fillId="0" borderId="19" xfId="0" applyBorder="1"/>
    <xf numFmtId="0" fontId="4" fillId="0" borderId="20" xfId="0" applyFont="1" applyBorder="1" applyAlignment="1">
      <alignment horizontal="right"/>
    </xf>
    <xf numFmtId="0" fontId="4" fillId="0" borderId="2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17" xfId="0" applyFont="1" applyBorder="1" applyAlignment="1">
      <alignment horizontal="right"/>
    </xf>
    <xf numFmtId="0" fontId="0" fillId="0" borderId="18" xfId="0" applyBorder="1"/>
    <xf numFmtId="0" fontId="4" fillId="0" borderId="1" xfId="0" applyFont="1" applyBorder="1"/>
    <xf numFmtId="0" fontId="4" fillId="0" borderId="4" xfId="0" applyFont="1" applyBorder="1"/>
    <xf numFmtId="0" fontId="4" fillId="0" borderId="3" xfId="0" applyFont="1" applyBorder="1"/>
    <xf numFmtId="0" fontId="0" fillId="0" borderId="31" xfId="0" applyBorder="1"/>
    <xf numFmtId="0" fontId="0" fillId="0" borderId="32" xfId="0" applyBorder="1"/>
    <xf numFmtId="165" fontId="0" fillId="0" borderId="25" xfId="0" applyNumberFormat="1" applyBorder="1"/>
    <xf numFmtId="165" fontId="0" fillId="0" borderId="19" xfId="0" applyNumberFormat="1" applyBorder="1"/>
    <xf numFmtId="0" fontId="4" fillId="3" borderId="20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vertical="center" wrapText="1"/>
    </xf>
    <xf numFmtId="0" fontId="4" fillId="0" borderId="19" xfId="0" applyFont="1" applyBorder="1" applyAlignment="1">
      <alignment vertical="center"/>
    </xf>
    <xf numFmtId="165" fontId="0" fillId="0" borderId="18" xfId="0" applyNumberFormat="1" applyBorder="1"/>
    <xf numFmtId="0" fontId="4" fillId="3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6" borderId="3" xfId="0" applyFont="1" applyFill="1" applyBorder="1" applyAlignment="1">
      <alignment horizontal="center" vertical="center" wrapText="1"/>
    </xf>
    <xf numFmtId="0" fontId="4" fillId="3" borderId="5" xfId="0" applyFont="1" applyFill="1" applyBorder="1"/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3" borderId="1" xfId="0" applyFont="1" applyFill="1" applyBorder="1"/>
    <xf numFmtId="0" fontId="5" fillId="6" borderId="3" xfId="0" applyFont="1" applyFill="1" applyBorder="1" applyAlignment="1">
      <alignment horizontal="center" vertical="center" wrapText="1"/>
    </xf>
    <xf numFmtId="0" fontId="4" fillId="3" borderId="33" xfId="0" applyFont="1" applyFill="1" applyBorder="1" applyAlignment="1">
      <alignment horizontal="center"/>
    </xf>
  </cellXfs>
  <cellStyles count="1">
    <cellStyle name="Normal" xfId="0" builtinId="0"/>
  </cellStyles>
  <dxfs count="12">
    <dxf>
      <fill>
        <patternFill patternType="solid">
          <fgColor rgb="FFCCCCCC"/>
          <bgColor rgb="FFCCCC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CE8B2"/>
          <bgColor rgb="FFFCE8B2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CCCCCC"/>
          <bgColor rgb="FFCCCCCC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per Motor vs RPM for Hexacopter Configuration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v>Thrust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'T-Motor U7 490kV with T-Motor P'!$C$4:$C$28</c:f>
              <c:numCache>
                <c:formatCode>General</c:formatCode>
                <c:ptCount val="25"/>
                <c:pt idx="0">
                  <c:v>0</c:v>
                </c:pt>
                <c:pt idx="1">
                  <c:v>1756.99999999997</c:v>
                </c:pt>
                <c:pt idx="2">
                  <c:v>2268.00000000001</c:v>
                </c:pt>
                <c:pt idx="3">
                  <c:v>2708.00000000001</c:v>
                </c:pt>
                <c:pt idx="4">
                  <c:v>3147</c:v>
                </c:pt>
                <c:pt idx="5">
                  <c:v>3573.99999999996</c:v>
                </c:pt>
                <c:pt idx="6">
                  <c:v>3974.00000000002</c:v>
                </c:pt>
                <c:pt idx="7">
                  <c:v>4479.00000000003</c:v>
                </c:pt>
                <c:pt idx="8">
                  <c:v>5050.99999999998</c:v>
                </c:pt>
                <c:pt idx="9">
                  <c:v>5517.99999999997</c:v>
                </c:pt>
                <c:pt idx="10">
                  <c:v>5947.00000000003</c:v>
                </c:pt>
                <c:pt idx="11">
                  <c:v>6383.00000000001</c:v>
                </c:pt>
                <c:pt idx="12">
                  <c:v>6792</c:v>
                </c:pt>
                <c:pt idx="13">
                  <c:v>7224.99999999998</c:v>
                </c:pt>
                <c:pt idx="14">
                  <c:v>7541.99999999996</c:v>
                </c:pt>
                <c:pt idx="15">
                  <c:v>7895.99999999996</c:v>
                </c:pt>
                <c:pt idx="16">
                  <c:v>8204.0000000000091</c:v>
                </c:pt>
              </c:numCache>
            </c:numRef>
          </c:xVal>
          <c:yVal>
            <c:numRef>
              <c:f>'T-Motor U7 490kV with T-Motor P'!$M$4:$M$28</c:f>
              <c:numCache>
                <c:formatCode>General</c:formatCode>
                <c:ptCount val="25"/>
                <c:pt idx="0">
                  <c:v>4.0550923543304342E-4</c:v>
                </c:pt>
                <c:pt idx="1">
                  <c:v>0.36677385588856892</c:v>
                </c:pt>
                <c:pt idx="2">
                  <c:v>0.66182582516059441</c:v>
                </c:pt>
                <c:pt idx="3">
                  <c:v>0.98636145367550643</c:v>
                </c:pt>
                <c:pt idx="4">
                  <c:v>1.3868752192502729</c:v>
                </c:pt>
                <c:pt idx="5">
                  <c:v>1.7709421628648414</c:v>
                </c:pt>
                <c:pt idx="6">
                  <c:v>2.1122354868544151</c:v>
                </c:pt>
                <c:pt idx="7">
                  <c:v>2.7320188405348151</c:v>
                </c:pt>
                <c:pt idx="8">
                  <c:v>3.599553706542272</c:v>
                </c:pt>
                <c:pt idx="9">
                  <c:v>4.38250501248534</c:v>
                </c:pt>
                <c:pt idx="10">
                  <c:v>4.9380871765156789</c:v>
                </c:pt>
                <c:pt idx="11">
                  <c:v>5.7642598767788265</c:v>
                </c:pt>
                <c:pt idx="12">
                  <c:v>6.6927000991522636</c:v>
                </c:pt>
                <c:pt idx="13">
                  <c:v>7.3061194931911375</c:v>
                </c:pt>
                <c:pt idx="14">
                  <c:v>8.4879819278259436</c:v>
                </c:pt>
                <c:pt idx="15">
                  <c:v>9.4285378152059351</c:v>
                </c:pt>
                <c:pt idx="16">
                  <c:v>10.405940433507194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343-41FA-8402-5379D6D0000E}"/>
            </c:ext>
          </c:extLst>
        </c:ser>
        <c:ser>
          <c:idx val="0"/>
          <c:order val="1"/>
          <c:tx>
            <c:v>T_req at 20 lbs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P'!$J$33,'T-Motor U7 490kV with T-Motor P'!$J$33)</c:f>
              <c:numCache>
                <c:formatCode>General</c:formatCode>
                <c:ptCount val="2"/>
                <c:pt idx="0">
                  <c:v>3.3330478474363363</c:v>
                </c:pt>
                <c:pt idx="1">
                  <c:v>3.3330478474363363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21-4F36-A2E5-91FD764D3707}"/>
            </c:ext>
          </c:extLst>
        </c:ser>
        <c:ser>
          <c:idx val="1"/>
          <c:order val="2"/>
          <c:tx>
            <c:v>T_req at 25 lbs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P'!$J$34,'T-Motor U7 490kV with T-Motor P'!$J$34)</c:f>
              <c:numCache>
                <c:formatCode>General</c:formatCode>
                <c:ptCount val="2"/>
                <c:pt idx="0">
                  <c:v>4.1663098092954201</c:v>
                </c:pt>
                <c:pt idx="1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21-4F36-A2E5-91FD764D3707}"/>
            </c:ext>
          </c:extLst>
        </c:ser>
        <c:ser>
          <c:idx val="2"/>
          <c:order val="3"/>
          <c:tx>
            <c:v>T_req at 30 lbs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P'!$J$35,'T-Motor U7 490kV with T-Motor P'!$J$35)</c:f>
              <c:numCache>
                <c:formatCode>General</c:formatCode>
                <c:ptCount val="2"/>
                <c:pt idx="0">
                  <c:v>4.9995717711545042</c:v>
                </c:pt>
                <c:pt idx="1">
                  <c:v>4.9995717711545042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21-4F36-A2E5-91FD764D3707}"/>
            </c:ext>
          </c:extLst>
        </c:ser>
        <c:ser>
          <c:idx val="3"/>
          <c:order val="4"/>
          <c:tx>
            <c:v>RPM_req at 20 lbs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2784321519004866E-3"/>
                  <c:y val="5.4474105371944095E-2"/>
                </c:manualLayout>
              </c:layout>
              <c:tx>
                <c:rich>
                  <a:bodyPr/>
                  <a:lstStyle/>
                  <a:p>
                    <a:fld id="{6188BF28-62F3-4584-850E-4307156B5430}" type="XVALUE">
                      <a:rPr lang="en-US"/>
                      <a:pPr/>
                      <a:t>[X 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6821-4F36-A2E5-91FD764D37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P'!$K$33</c:f>
              <c:numCache>
                <c:formatCode>General</c:formatCode>
                <c:ptCount val="1"/>
                <c:pt idx="0">
                  <c:v>4886.3</c:v>
                </c:pt>
              </c:numCache>
            </c:numRef>
          </c:xVal>
          <c:yVal>
            <c:numRef>
              <c:f>'T-Motor U7 490kV with T-Motor P'!$J$33</c:f>
              <c:numCache>
                <c:formatCode>General</c:formatCode>
                <c:ptCount val="1"/>
                <c:pt idx="0">
                  <c:v>3.3330478474363363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821-4F36-A2E5-91FD764D3707}"/>
            </c:ext>
          </c:extLst>
        </c:ser>
        <c:ser>
          <c:idx val="4"/>
          <c:order val="5"/>
          <c:tx>
            <c:v>RPM_req at 25 lbs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2138302160340948"/>
                  <c:y val="-2.2430513976682803E-2"/>
                </c:manualLayout>
              </c:layout>
              <c:tx>
                <c:rich>
                  <a:bodyPr/>
                  <a:lstStyle/>
                  <a:p>
                    <a:fld id="{243B9246-455F-4FBB-844D-E685F6EF4315}" type="XVALUE">
                      <a:rPr lang="en-US"/>
                      <a:pPr/>
                      <a:t>[X 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6821-4F36-A2E5-91FD764D37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P'!$K$34</c:f>
              <c:numCache>
                <c:formatCode>General</c:formatCode>
                <c:ptCount val="1"/>
                <c:pt idx="0">
                  <c:v>5374.8</c:v>
                </c:pt>
              </c:numCache>
            </c:numRef>
          </c:xVal>
          <c:yVal>
            <c:numRef>
              <c:f>'T-Motor U7 490kV with T-Motor P'!$J$34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21-4F36-A2E5-91FD764D3707}"/>
            </c:ext>
          </c:extLst>
        </c:ser>
        <c:ser>
          <c:idx val="5"/>
          <c:order val="6"/>
          <c:tx>
            <c:v>RPM_req at 30 lbs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0227457215203893E-2"/>
                  <c:y val="-3.845230967431354E-2"/>
                </c:manualLayout>
              </c:layout>
              <c:tx>
                <c:rich>
                  <a:bodyPr/>
                  <a:lstStyle/>
                  <a:p>
                    <a:fld id="{4CB4414C-9C7F-44F4-9A39-EBA2E7814DF7}" type="XVALUE">
                      <a:rPr lang="en-US"/>
                      <a:pPr/>
                      <a:t>[X 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6821-4F36-A2E5-91FD764D37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P'!$K$35</c:f>
              <c:numCache>
                <c:formatCode>General</c:formatCode>
                <c:ptCount val="1"/>
                <c:pt idx="0">
                  <c:v>5989.8</c:v>
                </c:pt>
              </c:numCache>
            </c:numRef>
          </c:xVal>
          <c:yVal>
            <c:numRef>
              <c:f>'T-Motor U7 490kV with T-Motor P'!$J$35</c:f>
              <c:numCache>
                <c:formatCode>General</c:formatCode>
                <c:ptCount val="1"/>
                <c:pt idx="0">
                  <c:v>4.9995717711545042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821-4F36-A2E5-91FD764D3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013375"/>
        <c:axId val="1465014815"/>
      </c:scatterChart>
      <c:valAx>
        <c:axId val="1465013375"/>
        <c:scaling>
          <c:orientation val="minMax"/>
          <c:max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4815"/>
        <c:crosses val="autoZero"/>
        <c:crossBetween val="midCat"/>
      </c:valAx>
      <c:valAx>
        <c:axId val="1465014815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(lbf)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3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Supplied per Motor vs RPM for Hexacopter Configuration at ~23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v>i (A)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'T-Motor U7 490kV with T-Motor P'!$C$4:$C$28</c:f>
              <c:numCache>
                <c:formatCode>General</c:formatCode>
                <c:ptCount val="25"/>
                <c:pt idx="0">
                  <c:v>0</c:v>
                </c:pt>
                <c:pt idx="1">
                  <c:v>1756.99999999997</c:v>
                </c:pt>
                <c:pt idx="2">
                  <c:v>2268.00000000001</c:v>
                </c:pt>
                <c:pt idx="3">
                  <c:v>2708.00000000001</c:v>
                </c:pt>
                <c:pt idx="4">
                  <c:v>3147</c:v>
                </c:pt>
                <c:pt idx="5">
                  <c:v>3573.99999999996</c:v>
                </c:pt>
                <c:pt idx="6">
                  <c:v>3974.00000000002</c:v>
                </c:pt>
                <c:pt idx="7">
                  <c:v>4479.00000000003</c:v>
                </c:pt>
                <c:pt idx="8">
                  <c:v>5050.99999999998</c:v>
                </c:pt>
                <c:pt idx="9">
                  <c:v>5517.99999999997</c:v>
                </c:pt>
                <c:pt idx="10">
                  <c:v>5947.00000000003</c:v>
                </c:pt>
                <c:pt idx="11">
                  <c:v>6383.00000000001</c:v>
                </c:pt>
                <c:pt idx="12">
                  <c:v>6792</c:v>
                </c:pt>
                <c:pt idx="13">
                  <c:v>7224.99999999998</c:v>
                </c:pt>
                <c:pt idx="14">
                  <c:v>7541.99999999996</c:v>
                </c:pt>
                <c:pt idx="15">
                  <c:v>7895.99999999996</c:v>
                </c:pt>
                <c:pt idx="16">
                  <c:v>8204.0000000000091</c:v>
                </c:pt>
              </c:numCache>
            </c:numRef>
          </c:xVal>
          <c:yVal>
            <c:numRef>
              <c:f>'T-Motor U7 490kV with T-Motor P'!$G$4:$G$28</c:f>
              <c:numCache>
                <c:formatCode>General</c:formatCode>
                <c:ptCount val="25"/>
                <c:pt idx="0">
                  <c:v>-3.1908880253135998E-4</c:v>
                </c:pt>
                <c:pt idx="1">
                  <c:v>0.64105877873189998</c:v>
                </c:pt>
                <c:pt idx="2">
                  <c:v>1.1672000107958</c:v>
                </c:pt>
                <c:pt idx="3">
                  <c:v>1.8742496819639001</c:v>
                </c:pt>
                <c:pt idx="4">
                  <c:v>2.681740926736</c:v>
                </c:pt>
                <c:pt idx="5">
                  <c:v>3.7169521553684</c:v>
                </c:pt>
                <c:pt idx="6">
                  <c:v>4.8953884727911996</c:v>
                </c:pt>
                <c:pt idx="7">
                  <c:v>6.7738988528541997</c:v>
                </c:pt>
                <c:pt idx="8">
                  <c:v>9.4635808400852</c:v>
                </c:pt>
                <c:pt idx="9">
                  <c:v>12.140891323584</c:v>
                </c:pt>
                <c:pt idx="10">
                  <c:v>15.156926853461</c:v>
                </c:pt>
                <c:pt idx="11">
                  <c:v>19.119536687855</c:v>
                </c:pt>
                <c:pt idx="12">
                  <c:v>23.440974378084</c:v>
                </c:pt>
                <c:pt idx="13">
                  <c:v>27.283432903786</c:v>
                </c:pt>
                <c:pt idx="14">
                  <c:v>33.134104814106003</c:v>
                </c:pt>
                <c:pt idx="15">
                  <c:v>38.707002380745998</c:v>
                </c:pt>
                <c:pt idx="16">
                  <c:v>44.923365744260998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A5-4EE7-B586-F93EF08C7A33}"/>
            </c:ext>
          </c:extLst>
        </c:ser>
        <c:ser>
          <c:idx val="0"/>
          <c:order val="1"/>
          <c:tx>
            <c:v>i_req at 20 lbs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P'!$M$33,'T-Motor U7 490kV with T-Motor P'!$M$33)</c:f>
              <c:numCache>
                <c:formatCode>General</c:formatCode>
                <c:ptCount val="2"/>
                <c:pt idx="0">
                  <c:v>8.6300000000000008</c:v>
                </c:pt>
                <c:pt idx="1">
                  <c:v>8.6300000000000008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A5-4EE7-B586-F93EF08C7A33}"/>
            </c:ext>
          </c:extLst>
        </c:ser>
        <c:ser>
          <c:idx val="1"/>
          <c:order val="2"/>
          <c:tx>
            <c:v>i_req at 25 lbs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P'!$M$34,'T-Motor U7 490kV with T-Motor P'!$M$34)</c:f>
              <c:numCache>
                <c:formatCode>General</c:formatCode>
                <c:ptCount val="2"/>
                <c:pt idx="0">
                  <c:v>11.26</c:v>
                </c:pt>
                <c:pt idx="1">
                  <c:v>11.26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A5-4EE7-B586-F93EF08C7A33}"/>
            </c:ext>
          </c:extLst>
        </c:ser>
        <c:ser>
          <c:idx val="2"/>
          <c:order val="3"/>
          <c:tx>
            <c:v>i_req at 30 lbs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P'!$M$35,'T-Motor U7 490kV with T-Motor P'!$M$35)</c:f>
              <c:numCache>
                <c:formatCode>General</c:formatCode>
                <c:ptCount val="2"/>
                <c:pt idx="0">
                  <c:v>15.5</c:v>
                </c:pt>
                <c:pt idx="1">
                  <c:v>15.5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A5-4EE7-B586-F93EF08C7A33}"/>
            </c:ext>
          </c:extLst>
        </c:ser>
        <c:ser>
          <c:idx val="3"/>
          <c:order val="4"/>
          <c:tx>
            <c:v>i_req at 20 lbs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0438413361169102E-2"/>
                  <c:y val="5.7218533498497828E-2"/>
                </c:manualLayout>
              </c:layout>
              <c:tx>
                <c:rich>
                  <a:bodyPr/>
                  <a:lstStyle/>
                  <a:p>
                    <a:fld id="{337B229D-0D87-4AD3-AB3E-567C91EC0DC1}" type="YVALUE">
                      <a:rPr lang="en-US"/>
                      <a:pPr/>
                      <a:t>[Y 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21A5-4EE7-B586-F93EF08C7A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P'!$K$33</c:f>
              <c:numCache>
                <c:formatCode>General</c:formatCode>
                <c:ptCount val="1"/>
                <c:pt idx="0">
                  <c:v>4886.3</c:v>
                </c:pt>
              </c:numCache>
            </c:numRef>
          </c:xVal>
          <c:yVal>
            <c:numRef>
              <c:f>'T-Motor U7 490kV with T-Motor P'!$M$33</c:f>
              <c:numCache>
                <c:formatCode>General</c:formatCode>
                <c:ptCount val="1"/>
                <c:pt idx="0">
                  <c:v>8.6300000000000008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1A5-4EE7-B586-F93EF08C7A33}"/>
            </c:ext>
          </c:extLst>
        </c:ser>
        <c:ser>
          <c:idx val="4"/>
          <c:order val="5"/>
          <c:tx>
            <c:v>i_req at 25 lbs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336116910229645"/>
                  <c:y val="-3.4966881582415454E-2"/>
                </c:manualLayout>
              </c:layout>
              <c:tx>
                <c:rich>
                  <a:bodyPr/>
                  <a:lstStyle/>
                  <a:p>
                    <a:fld id="{6B52F2E4-BFC5-4238-A0A2-1D31581E043E}" type="YVALUE">
                      <a:rPr lang="en-US"/>
                      <a:pPr/>
                      <a:t>[Y 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21A5-4EE7-B586-F93EF08C7A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P'!$K$34</c:f>
              <c:numCache>
                <c:formatCode>General</c:formatCode>
                <c:ptCount val="1"/>
                <c:pt idx="0">
                  <c:v>5374.8</c:v>
                </c:pt>
              </c:numCache>
            </c:numRef>
          </c:xVal>
          <c:yVal>
            <c:numRef>
              <c:f>'T-Motor U7 490kV with T-Motor P'!$M$34</c:f>
              <c:numCache>
                <c:formatCode>General</c:formatCode>
                <c:ptCount val="1"/>
                <c:pt idx="0">
                  <c:v>11.26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1A5-4EE7-B586-F93EF08C7A33}"/>
            </c:ext>
          </c:extLst>
        </c:ser>
        <c:ser>
          <c:idx val="5"/>
          <c:order val="6"/>
          <c:tx>
            <c:v>i_req at 30 lbs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354615094038677"/>
                  <c:y val="-4.4907324970670064E-2"/>
                </c:manualLayout>
              </c:layout>
              <c:tx>
                <c:rich>
                  <a:bodyPr/>
                  <a:lstStyle/>
                  <a:p>
                    <a:fld id="{05C1EB60-C778-4139-A758-D7414445CA5B}" type="YVALUE">
                      <a:rPr lang="en-US"/>
                      <a:pPr/>
                      <a:t>[Y 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21A5-4EE7-B586-F93EF08C7A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P'!$K$35</c:f>
              <c:numCache>
                <c:formatCode>General</c:formatCode>
                <c:ptCount val="1"/>
                <c:pt idx="0">
                  <c:v>5989.8</c:v>
                </c:pt>
              </c:numCache>
            </c:numRef>
          </c:xVal>
          <c:yVal>
            <c:numRef>
              <c:f>'T-Motor U7 490kV with T-Motor P'!$M$35</c:f>
              <c:numCache>
                <c:formatCode>General</c:formatCode>
                <c:ptCount val="1"/>
                <c:pt idx="0">
                  <c:v>15.5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1A5-4EE7-B586-F93EF08C7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013375"/>
        <c:axId val="1465014815"/>
      </c:scatterChart>
      <c:valAx>
        <c:axId val="1465013375"/>
        <c:scaling>
          <c:orientation val="minMax"/>
          <c:max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4815"/>
        <c:crosses val="autoZero"/>
        <c:crossBetween val="midCat"/>
      </c:valAx>
      <c:valAx>
        <c:axId val="1465014815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Current Supplied (A)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3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Mechanical</a:t>
            </a:r>
            <a:r>
              <a:rPr lang="en-US" baseline="0"/>
              <a:t> </a:t>
            </a:r>
            <a:r>
              <a:rPr lang="en-US"/>
              <a:t> Power Output Comparison for Three UAV Configurations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Quadcopter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4728251432540372E-3"/>
                  <c:y val="-5.16440897830837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0D-4196-A181-B85FE5A4362F}"/>
                </c:ext>
              </c:extLst>
            </c:dLbl>
            <c:dLbl>
              <c:idx val="1"/>
              <c:layout>
                <c:manualLayout>
                  <c:x val="-5.3828789720437573E-2"/>
                  <c:y val="-5.16440897830837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0D-4196-A181-B85FE5A4362F}"/>
                </c:ext>
              </c:extLst>
            </c:dLbl>
            <c:dLbl>
              <c:idx val="2"/>
              <c:layout>
                <c:manualLayout>
                  <c:x val="-6.0774440006945651E-2"/>
                  <c:y val="-3.7559338024060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0D-4196-A181-B85FE5A4362F}"/>
                </c:ext>
              </c:extLst>
            </c:dLbl>
            <c:dLbl>
              <c:idx val="3"/>
              <c:layout>
                <c:manualLayout>
                  <c:x val="-6.4247265150199684E-2"/>
                  <c:y val="-3.0516962144549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0D-4196-A181-B85FE5A4362F}"/>
                </c:ext>
              </c:extLst>
            </c:dLbl>
            <c:dLbl>
              <c:idx val="4"/>
              <c:layout>
                <c:manualLayout>
                  <c:x val="-4.1673901719048445E-2"/>
                  <c:y val="-3.05169621445494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0D-4196-A181-B85FE5A436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P'!$I$40:$I$44</c:f>
              <c:numCache>
                <c:formatCode>General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35</c:v>
                </c:pt>
              </c:numCache>
            </c:numRef>
          </c:xVal>
          <c:yVal>
            <c:numRef>
              <c:f>'T-Motor U7 490kV with T-Motor P'!$Q$40:$Q$44</c:f>
              <c:numCache>
                <c:formatCode>General</c:formatCode>
                <c:ptCount val="5"/>
                <c:pt idx="0">
                  <c:v>717.11</c:v>
                </c:pt>
                <c:pt idx="1">
                  <c:v>1119.58</c:v>
                </c:pt>
                <c:pt idx="2">
                  <c:v>1526.3</c:v>
                </c:pt>
                <c:pt idx="3">
                  <c:v>2051.0100000000002</c:v>
                </c:pt>
                <c:pt idx="4">
                  <c:v>2441.06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F0-4773-83D4-8034CEF4E069}"/>
            </c:ext>
          </c:extLst>
        </c:ser>
        <c:ser>
          <c:idx val="0"/>
          <c:order val="1"/>
          <c:tx>
            <c:v>Hexacopter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138565723215841E-2"/>
                  <c:y val="-9.38983450601531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F0-4773-83D4-8034CEF4E069}"/>
                </c:ext>
              </c:extLst>
            </c:dLbl>
            <c:dLbl>
              <c:idx val="1"/>
              <c:layout>
                <c:manualLayout>
                  <c:x val="-6.9343883284750819E-3"/>
                  <c:y val="-4.22136614769368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F0-4773-83D4-8034CEF4E069}"/>
                </c:ext>
              </c:extLst>
            </c:dLbl>
            <c:dLbl>
              <c:idx val="2"/>
              <c:layout>
                <c:manualLayout>
                  <c:x val="-5.2092377148810494E-2"/>
                  <c:y val="-3.0516962144549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F0-4773-83D4-8034CEF4E069}"/>
                </c:ext>
              </c:extLst>
            </c:dLbl>
            <c:dLbl>
              <c:idx val="3"/>
              <c:layout>
                <c:manualLayout>
                  <c:x val="-6.0774440006945651E-2"/>
                  <c:y val="-3.75593380240609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F0-4773-83D4-8034CEF4E069}"/>
                </c:ext>
              </c:extLst>
            </c:dLbl>
            <c:dLbl>
              <c:idx val="4"/>
              <c:layout>
                <c:manualLayout>
                  <c:x val="-2.4309776002778134E-2"/>
                  <c:y val="-1.8779669012030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F0-4773-83D4-8034CEF4E0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P'!$H$32:$H$36</c:f>
              <c:numCache>
                <c:formatCode>General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35</c:v>
                </c:pt>
              </c:numCache>
            </c:numRef>
          </c:xVal>
          <c:yVal>
            <c:numRef>
              <c:f>'T-Motor U7 490kV with T-Motor P'!$Q$32:$Q$36</c:f>
              <c:numCache>
                <c:formatCode>General</c:formatCode>
                <c:ptCount val="5"/>
                <c:pt idx="0">
                  <c:v>635.81999999999994</c:v>
                </c:pt>
                <c:pt idx="1">
                  <c:v>923.28</c:v>
                </c:pt>
                <c:pt idx="2">
                  <c:v>1231.74</c:v>
                </c:pt>
                <c:pt idx="3">
                  <c:v>1679.34</c:v>
                </c:pt>
                <c:pt idx="4">
                  <c:v>2099.64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F0-4773-83D4-8034CEF4E069}"/>
            </c:ext>
          </c:extLst>
        </c:ser>
        <c:ser>
          <c:idx val="2"/>
          <c:order val="2"/>
          <c:tx>
            <c:v>Octacopter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41847542976211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0D-4196-A181-B85FE5A4362F}"/>
                </c:ext>
              </c:extLst>
            </c:dLbl>
            <c:dLbl>
              <c:idx val="1"/>
              <c:layout>
                <c:manualLayout>
                  <c:x val="6.9456502865080745E-3"/>
                  <c:y val="1.1737293132519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0D-4196-A181-B85FE5A4362F}"/>
                </c:ext>
              </c:extLst>
            </c:dLbl>
            <c:dLbl>
              <c:idx val="2"/>
              <c:layout>
                <c:manualLayout>
                  <c:x val="3.472825143254101E-3"/>
                  <c:y val="2.58220448915418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0D-4196-A181-B85FE5A4362F}"/>
                </c:ext>
              </c:extLst>
            </c:dLbl>
            <c:dLbl>
              <c:idx val="3"/>
              <c:layout>
                <c:manualLayout>
                  <c:x val="3.4728251432540372E-3"/>
                  <c:y val="3.05169621445493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0D-4196-A181-B85FE5A4362F}"/>
                </c:ext>
              </c:extLst>
            </c:dLbl>
            <c:dLbl>
              <c:idx val="4"/>
              <c:layout>
                <c:manualLayout>
                  <c:x val="-1.7364125716270187E-2"/>
                  <c:y val="4.22542552770685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0D-4196-A181-B85FE5A436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P'!$I$48:$I$52</c:f>
              <c:numCache>
                <c:formatCode>General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35</c:v>
                </c:pt>
              </c:numCache>
            </c:numRef>
          </c:xVal>
          <c:yVal>
            <c:numRef>
              <c:f>'T-Motor U7 490kV with T-Motor P'!$Q$48:$Q$52</c:f>
              <c:numCache>
                <c:formatCode>General</c:formatCode>
                <c:ptCount val="5"/>
                <c:pt idx="0">
                  <c:v>543.20000000000005</c:v>
                </c:pt>
                <c:pt idx="1">
                  <c:v>847.77</c:v>
                </c:pt>
                <c:pt idx="2">
                  <c:v>1127.8699999999999</c:v>
                </c:pt>
                <c:pt idx="3">
                  <c:v>1434.21</c:v>
                </c:pt>
                <c:pt idx="4">
                  <c:v>1766.52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F0-4773-83D4-8034CEF4E069}"/>
            </c:ext>
          </c:extLst>
        </c:ser>
        <c:ser>
          <c:idx val="3"/>
          <c:order val="3"/>
          <c:tx>
            <c:v>Required Power Output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6454300218897365E-3"/>
                  <c:y val="3.46019098331899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F0-4773-83D4-8034CEF4E069}"/>
                </c:ext>
              </c:extLst>
            </c:dLbl>
            <c:dLbl>
              <c:idx val="1"/>
              <c:layout>
                <c:manualLayout>
                  <c:x val="-3.4972989897360243E-3"/>
                  <c:y val="4.8483338404090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F0-4773-83D4-8034CEF4E069}"/>
                </c:ext>
              </c:extLst>
            </c:dLbl>
            <c:dLbl>
              <c:idx val="2"/>
              <c:layout>
                <c:manualLayout>
                  <c:x val="-3.374382855728726E-4"/>
                  <c:y val="6.44072408193111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F0-4773-83D4-8034CEF4E069}"/>
                </c:ext>
              </c:extLst>
            </c:dLbl>
            <c:dLbl>
              <c:idx val="3"/>
              <c:layout>
                <c:manualLayout>
                  <c:x val="0"/>
                  <c:y val="6.45089024133723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F0-4773-83D4-8034CEF4E069}"/>
                </c:ext>
              </c:extLst>
            </c:dLbl>
            <c:dLbl>
              <c:idx val="4"/>
              <c:layout>
                <c:manualLayout>
                  <c:x val="-1.4566313869561361E-2"/>
                  <c:y val="7.15512782928837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F0-4773-83D4-8034CEF4E0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'Important Info'!$A$3:$A$7</c:f>
              <c:numCache>
                <c:formatCode>General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35</c:v>
                </c:pt>
              </c:numCache>
            </c:numRef>
          </c:xVal>
          <c:yVal>
            <c:numRef>
              <c:f>'Important Info'!$E$3:$E$7</c:f>
              <c:numCache>
                <c:formatCode>General</c:formatCode>
                <c:ptCount val="5"/>
                <c:pt idx="0">
                  <c:v>394.61</c:v>
                </c:pt>
                <c:pt idx="1">
                  <c:v>607.54</c:v>
                </c:pt>
                <c:pt idx="2">
                  <c:v>849.07</c:v>
                </c:pt>
                <c:pt idx="3">
                  <c:v>1116.1300000000001</c:v>
                </c:pt>
                <c:pt idx="4">
                  <c:v>1406.49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2F0-4773-83D4-8034CEF4E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201071"/>
        <c:axId val="684178031"/>
      </c:scatterChart>
      <c:valAx>
        <c:axId val="684201071"/>
        <c:scaling>
          <c:orientation val="minMax"/>
          <c:max val="36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178031"/>
        <c:crosses val="autoZero"/>
        <c:crossBetween val="midCat"/>
      </c:valAx>
      <c:valAx>
        <c:axId val="684178031"/>
        <c:scaling>
          <c:orientation val="minMax"/>
          <c:max val="2500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Output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201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Mechanical Power Output per Motor vs RPM for Hexacopter Configuration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v>P_shaft (W)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'T-Motor U7 490kV with T-Motor P'!$C$4:$C$28</c:f>
              <c:numCache>
                <c:formatCode>General</c:formatCode>
                <c:ptCount val="25"/>
                <c:pt idx="0">
                  <c:v>0</c:v>
                </c:pt>
                <c:pt idx="1">
                  <c:v>1756.99999999997</c:v>
                </c:pt>
                <c:pt idx="2">
                  <c:v>2268.00000000001</c:v>
                </c:pt>
                <c:pt idx="3">
                  <c:v>2708.00000000001</c:v>
                </c:pt>
                <c:pt idx="4">
                  <c:v>3147</c:v>
                </c:pt>
                <c:pt idx="5">
                  <c:v>3573.99999999996</c:v>
                </c:pt>
                <c:pt idx="6">
                  <c:v>3974.00000000002</c:v>
                </c:pt>
                <c:pt idx="7">
                  <c:v>4479.00000000003</c:v>
                </c:pt>
                <c:pt idx="8">
                  <c:v>5050.99999999998</c:v>
                </c:pt>
                <c:pt idx="9">
                  <c:v>5517.99999999997</c:v>
                </c:pt>
                <c:pt idx="10">
                  <c:v>5947.00000000003</c:v>
                </c:pt>
                <c:pt idx="11">
                  <c:v>6383.00000000001</c:v>
                </c:pt>
                <c:pt idx="12">
                  <c:v>6792</c:v>
                </c:pt>
                <c:pt idx="13">
                  <c:v>7224.99999999998</c:v>
                </c:pt>
                <c:pt idx="14">
                  <c:v>7541.99999999996</c:v>
                </c:pt>
                <c:pt idx="15">
                  <c:v>7895.99999999996</c:v>
                </c:pt>
                <c:pt idx="16">
                  <c:v>8204.0000000000091</c:v>
                </c:pt>
              </c:numCache>
            </c:numRef>
          </c:xVal>
          <c:yVal>
            <c:numRef>
              <c:f>'T-Motor U7 490kV with T-Motor P'!$I$4:$I$28</c:f>
              <c:numCache>
                <c:formatCode>General</c:formatCode>
                <c:ptCount val="25"/>
                <c:pt idx="0">
                  <c:v>0</c:v>
                </c:pt>
                <c:pt idx="1">
                  <c:v>7.0527028987094296</c:v>
                </c:pt>
                <c:pt idx="2">
                  <c:v>16.073633798467199</c:v>
                </c:pt>
                <c:pt idx="3">
                  <c:v>28.141752430299999</c:v>
                </c:pt>
                <c:pt idx="4">
                  <c:v>42.076559725347202</c:v>
                </c:pt>
                <c:pt idx="5">
                  <c:v>61.235087839139297</c:v>
                </c:pt>
                <c:pt idx="6">
                  <c:v>83.885163896320407</c:v>
                </c:pt>
                <c:pt idx="7">
                  <c:v>118.178290326154</c:v>
                </c:pt>
                <c:pt idx="8">
                  <c:v>170.330362992419</c:v>
                </c:pt>
                <c:pt idx="9">
                  <c:v>221.48751153708699</c:v>
                </c:pt>
                <c:pt idx="10">
                  <c:v>273.95936021264703</c:v>
                </c:pt>
                <c:pt idx="11">
                  <c:v>344.86098400431899</c:v>
                </c:pt>
                <c:pt idx="12">
                  <c:v>421.39503539279002</c:v>
                </c:pt>
                <c:pt idx="13">
                  <c:v>484.75900379314299</c:v>
                </c:pt>
                <c:pt idx="14">
                  <c:v>588.385281311271</c:v>
                </c:pt>
                <c:pt idx="15">
                  <c:v>674.08357537560801</c:v>
                </c:pt>
                <c:pt idx="16">
                  <c:v>773.92255447564298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61-43C4-BA4B-3219F05A7FBB}"/>
            </c:ext>
          </c:extLst>
        </c:ser>
        <c:ser>
          <c:idx val="0"/>
          <c:order val="1"/>
          <c:tx>
            <c:v>P_shaft,req at 20 lbs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P'!$O$33,'T-Motor U7 490kV with T-Motor P'!$O$33)</c:f>
              <c:numCache>
                <c:formatCode>General</c:formatCode>
                <c:ptCount val="2"/>
                <c:pt idx="0">
                  <c:v>153.88</c:v>
                </c:pt>
                <c:pt idx="1">
                  <c:v>153.88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61-43C4-BA4B-3219F05A7FBB}"/>
            </c:ext>
          </c:extLst>
        </c:ser>
        <c:ser>
          <c:idx val="1"/>
          <c:order val="2"/>
          <c:tx>
            <c:v>P_shaft,req at 25 lbs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P'!$O$34,'T-Motor U7 490kV with T-Motor P'!$O$34)</c:f>
              <c:numCache>
                <c:formatCode>General</c:formatCode>
                <c:ptCount val="2"/>
                <c:pt idx="0">
                  <c:v>205.29</c:v>
                </c:pt>
                <c:pt idx="1">
                  <c:v>205.29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61-43C4-BA4B-3219F05A7FBB}"/>
            </c:ext>
          </c:extLst>
        </c:ser>
        <c:ser>
          <c:idx val="2"/>
          <c:order val="3"/>
          <c:tx>
            <c:v>P_shaft,req at 30 lbs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P'!$O$35,'T-Motor U7 490kV with T-Motor P'!$O$35)</c:f>
              <c:numCache>
                <c:formatCode>General</c:formatCode>
                <c:ptCount val="2"/>
                <c:pt idx="0">
                  <c:v>279.89</c:v>
                </c:pt>
                <c:pt idx="1">
                  <c:v>279.89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F61-43C4-BA4B-3219F05A7FBB}"/>
            </c:ext>
          </c:extLst>
        </c:ser>
        <c:ser>
          <c:idx val="3"/>
          <c:order val="4"/>
          <c:tx>
            <c:v>P_shaft at 20 lbs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9815936475411989E-3"/>
                  <c:y val="3.7845874414773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61-43C4-BA4B-3219F05A7F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P'!$K$33</c:f>
              <c:numCache>
                <c:formatCode>General</c:formatCode>
                <c:ptCount val="1"/>
                <c:pt idx="0">
                  <c:v>4886.3</c:v>
                </c:pt>
              </c:numCache>
            </c:numRef>
          </c:xVal>
          <c:yVal>
            <c:numRef>
              <c:f>'T-Motor U7 490kV with T-Motor P'!$O$33</c:f>
              <c:numCache>
                <c:formatCode>General</c:formatCode>
                <c:ptCount val="1"/>
                <c:pt idx="0">
                  <c:v>153.88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F61-43C4-BA4B-3219F05A7FBB}"/>
            </c:ext>
          </c:extLst>
        </c:ser>
        <c:ser>
          <c:idx val="4"/>
          <c:order val="5"/>
          <c:tx>
            <c:v>P_shaft at 25 lbs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3226933196733466E-2"/>
                  <c:y val="-2.52305829431822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61-43C4-BA4B-3219F05A7F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P'!$K$34</c:f>
              <c:numCache>
                <c:formatCode>General</c:formatCode>
                <c:ptCount val="1"/>
                <c:pt idx="0">
                  <c:v>5374.8</c:v>
                </c:pt>
              </c:numCache>
            </c:numRef>
          </c:xVal>
          <c:yVal>
            <c:numRef>
              <c:f>'T-Motor U7 490kV with T-Motor P'!$O$34</c:f>
              <c:numCache>
                <c:formatCode>General</c:formatCode>
                <c:ptCount val="1"/>
                <c:pt idx="0">
                  <c:v>205.29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F61-43C4-BA4B-3219F05A7FBB}"/>
            </c:ext>
          </c:extLst>
        </c:ser>
        <c:ser>
          <c:idx val="5"/>
          <c:order val="6"/>
          <c:tx>
            <c:v>P_shaft at 30 lbs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9076255229796718E-3"/>
                  <c:y val="5.59711046154977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61-43C4-BA4B-3219F05A7F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P'!$K$35</c:f>
              <c:numCache>
                <c:formatCode>General</c:formatCode>
                <c:ptCount val="1"/>
                <c:pt idx="0">
                  <c:v>5989.8</c:v>
                </c:pt>
              </c:numCache>
            </c:numRef>
          </c:xVal>
          <c:yVal>
            <c:numRef>
              <c:f>'T-Motor U7 490kV with T-Motor P'!$O$35</c:f>
              <c:numCache>
                <c:formatCode>General</c:formatCode>
                <c:ptCount val="1"/>
                <c:pt idx="0">
                  <c:v>279.89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F61-43C4-BA4B-3219F05A7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013375"/>
        <c:axId val="1465014815"/>
      </c:scatterChart>
      <c:valAx>
        <c:axId val="1465013375"/>
        <c:scaling>
          <c:orientation val="minMax"/>
          <c:max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4815"/>
        <c:crosses val="autoZero"/>
        <c:crossBetween val="midCat"/>
      </c:valAx>
      <c:valAx>
        <c:axId val="1465014815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Output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3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Mechanical Power Output for Different Motor-Prop Pairs at 25 lbs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'T-Motor U7 490kV with T-Motor P'!$A$1</c:f>
              <c:strCache>
                <c:ptCount val="1"/>
                <c:pt idx="0">
                  <c:v>T-Motor U7 490kV with T-Motor P16x54 (Current)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'T-Motor U7 490kV with T-Motor P'!$I$4:$I$28</c:f>
              <c:numCache>
                <c:formatCode>General</c:formatCode>
                <c:ptCount val="25"/>
                <c:pt idx="0">
                  <c:v>0</c:v>
                </c:pt>
                <c:pt idx="1">
                  <c:v>7.0527028987094296</c:v>
                </c:pt>
                <c:pt idx="2">
                  <c:v>16.073633798467199</c:v>
                </c:pt>
                <c:pt idx="3">
                  <c:v>28.141752430299999</c:v>
                </c:pt>
                <c:pt idx="4">
                  <c:v>42.076559725347202</c:v>
                </c:pt>
                <c:pt idx="5">
                  <c:v>61.235087839139297</c:v>
                </c:pt>
                <c:pt idx="6">
                  <c:v>83.885163896320407</c:v>
                </c:pt>
                <c:pt idx="7">
                  <c:v>118.178290326154</c:v>
                </c:pt>
                <c:pt idx="8">
                  <c:v>170.330362992419</c:v>
                </c:pt>
                <c:pt idx="9">
                  <c:v>221.48751153708699</c:v>
                </c:pt>
                <c:pt idx="10">
                  <c:v>273.95936021264703</c:v>
                </c:pt>
                <c:pt idx="11">
                  <c:v>344.86098400431899</c:v>
                </c:pt>
                <c:pt idx="12">
                  <c:v>421.39503539279002</c:v>
                </c:pt>
                <c:pt idx="13">
                  <c:v>484.75900379314299</c:v>
                </c:pt>
                <c:pt idx="14">
                  <c:v>588.385281311271</c:v>
                </c:pt>
                <c:pt idx="15">
                  <c:v>674.08357537560801</c:v>
                </c:pt>
                <c:pt idx="16">
                  <c:v>773.92255447564298</c:v>
                </c:pt>
              </c:numCache>
            </c:numRef>
          </c:xVal>
          <c:yVal>
            <c:numRef>
              <c:f>'T-Motor U7 490kV with T-Motor P'!$M$4:$M$28</c:f>
              <c:numCache>
                <c:formatCode>General</c:formatCode>
                <c:ptCount val="25"/>
                <c:pt idx="0">
                  <c:v>4.0550923543304342E-4</c:v>
                </c:pt>
                <c:pt idx="1">
                  <c:v>0.36677385588856892</c:v>
                </c:pt>
                <c:pt idx="2">
                  <c:v>0.66182582516059441</c:v>
                </c:pt>
                <c:pt idx="3">
                  <c:v>0.98636145367550643</c:v>
                </c:pt>
                <c:pt idx="4">
                  <c:v>1.3868752192502729</c:v>
                </c:pt>
                <c:pt idx="5">
                  <c:v>1.7709421628648414</c:v>
                </c:pt>
                <c:pt idx="6">
                  <c:v>2.1122354868544151</c:v>
                </c:pt>
                <c:pt idx="7">
                  <c:v>2.7320188405348151</c:v>
                </c:pt>
                <c:pt idx="8">
                  <c:v>3.599553706542272</c:v>
                </c:pt>
                <c:pt idx="9">
                  <c:v>4.38250501248534</c:v>
                </c:pt>
                <c:pt idx="10">
                  <c:v>4.9380871765156789</c:v>
                </c:pt>
                <c:pt idx="11">
                  <c:v>5.7642598767788265</c:v>
                </c:pt>
                <c:pt idx="12">
                  <c:v>6.6927000991522636</c:v>
                </c:pt>
                <c:pt idx="13">
                  <c:v>7.3061194931911375</c:v>
                </c:pt>
                <c:pt idx="14">
                  <c:v>8.4879819278259436</c:v>
                </c:pt>
                <c:pt idx="15">
                  <c:v>9.4285378152059351</c:v>
                </c:pt>
                <c:pt idx="16">
                  <c:v>10.405940433507194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6-4B82-8D0E-31C95AB8A186}"/>
            </c:ext>
          </c:extLst>
        </c:ser>
        <c:ser>
          <c:idx val="1"/>
          <c:order val="1"/>
          <c:tx>
            <c:strRef>
              <c:f>'T-Motor Antigravity 7005-230 wi'!$A$1</c:f>
              <c:strCache>
                <c:ptCount val="1"/>
                <c:pt idx="0">
                  <c:v>T-Motor Antigravity 7005 kV230 with T-Motor P20x6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'T-Motor Antigravity 7005-230 wi'!$I$4:$I$28</c:f>
              <c:numCache>
                <c:formatCode>General</c:formatCode>
                <c:ptCount val="25"/>
                <c:pt idx="0">
                  <c:v>0</c:v>
                </c:pt>
                <c:pt idx="1">
                  <c:v>3.5828071580175198</c:v>
                </c:pt>
                <c:pt idx="2">
                  <c:v>6.4892358952189699</c:v>
                </c:pt>
                <c:pt idx="3">
                  <c:v>10.9407772749099</c:v>
                </c:pt>
                <c:pt idx="4">
                  <c:v>16.007839461471601</c:v>
                </c:pt>
                <c:pt idx="5">
                  <c:v>21.848541092587801</c:v>
                </c:pt>
                <c:pt idx="6">
                  <c:v>29.655448848686198</c:v>
                </c:pt>
                <c:pt idx="7">
                  <c:v>38.789405758369597</c:v>
                </c:pt>
                <c:pt idx="8">
                  <c:v>50.539662335137599</c:v>
                </c:pt>
                <c:pt idx="9">
                  <c:v>63.121415843949201</c:v>
                </c:pt>
                <c:pt idx="10">
                  <c:v>78.628923562287696</c:v>
                </c:pt>
                <c:pt idx="11">
                  <c:v>95.741217039748506</c:v>
                </c:pt>
                <c:pt idx="12">
                  <c:v>120.945173391086</c:v>
                </c:pt>
                <c:pt idx="13">
                  <c:v>140.79275510810299</c:v>
                </c:pt>
                <c:pt idx="14">
                  <c:v>161.26184506277599</c:v>
                </c:pt>
                <c:pt idx="15">
                  <c:v>184.58713841573399</c:v>
                </c:pt>
                <c:pt idx="16">
                  <c:v>210.97187061111501</c:v>
                </c:pt>
                <c:pt idx="17">
                  <c:v>235.23762274903001</c:v>
                </c:pt>
                <c:pt idx="18">
                  <c:v>269.37026803399198</c:v>
                </c:pt>
                <c:pt idx="19">
                  <c:v>300.96126683313099</c:v>
                </c:pt>
                <c:pt idx="20">
                  <c:v>351.96458937387803</c:v>
                </c:pt>
              </c:numCache>
            </c:numRef>
          </c:xVal>
          <c:yVal>
            <c:numRef>
              <c:f>'T-Motor Antigravity 7005-230 wi'!$M$4:$M$28</c:f>
              <c:numCache>
                <c:formatCode>General</c:formatCode>
                <c:ptCount val="25"/>
                <c:pt idx="0">
                  <c:v>4.7337838937315394E-4</c:v>
                </c:pt>
                <c:pt idx="1">
                  <c:v>0.30241483492531646</c:v>
                </c:pt>
                <c:pt idx="2">
                  <c:v>0.45353473903839014</c:v>
                </c:pt>
                <c:pt idx="3">
                  <c:v>0.62506193956974798</c:v>
                </c:pt>
                <c:pt idx="4">
                  <c:v>0.83418703683263262</c:v>
                </c:pt>
                <c:pt idx="5">
                  <c:v>1.0420233203475833</c:v>
                </c:pt>
                <c:pt idx="6">
                  <c:v>1.2910140885851502</c:v>
                </c:pt>
                <c:pt idx="7">
                  <c:v>1.5507360844515157</c:v>
                </c:pt>
                <c:pt idx="8">
                  <c:v>1.8677689686408163</c:v>
                </c:pt>
                <c:pt idx="9">
                  <c:v>2.1390958932060307</c:v>
                </c:pt>
                <c:pt idx="10">
                  <c:v>2.5488012253100081</c:v>
                </c:pt>
                <c:pt idx="11">
                  <c:v>2.9156614432436641</c:v>
                </c:pt>
                <c:pt idx="12">
                  <c:v>3.3973694711585116</c:v>
                </c:pt>
                <c:pt idx="13">
                  <c:v>3.7996965690122395</c:v>
                </c:pt>
                <c:pt idx="14">
                  <c:v>4.1901597558071613</c:v>
                </c:pt>
                <c:pt idx="15">
                  <c:v>4.5907097183597161</c:v>
                </c:pt>
                <c:pt idx="16">
                  <c:v>5.0621255043528839</c:v>
                </c:pt>
                <c:pt idx="17">
                  <c:v>5.3181596851696558</c:v>
                </c:pt>
                <c:pt idx="18">
                  <c:v>5.9175286209921971</c:v>
                </c:pt>
                <c:pt idx="19">
                  <c:v>6.2891968673675755</c:v>
                </c:pt>
                <c:pt idx="20">
                  <c:v>7.0512179458355675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26-4B82-8D0E-31C95AB8A186}"/>
            </c:ext>
          </c:extLst>
        </c:ser>
        <c:ser>
          <c:idx val="2"/>
          <c:order val="2"/>
          <c:tx>
            <c:strRef>
              <c:f>'T-Motor Antigravity 7005 KV230 '!$A$1</c:f>
              <c:strCache>
                <c:ptCount val="1"/>
                <c:pt idx="0">
                  <c:v>T-Motor Antigravity 7005 kV230 with T-Motor P18x61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'T-Motor Antigravity 7005 KV230 '!$I$4:$I$28</c:f>
              <c:numCache>
                <c:formatCode>General</c:formatCode>
                <c:ptCount val="25"/>
                <c:pt idx="0">
                  <c:v>0</c:v>
                </c:pt>
                <c:pt idx="1">
                  <c:v>2.1971274374181902</c:v>
                </c:pt>
                <c:pt idx="2">
                  <c:v>4.1591151102365904</c:v>
                </c:pt>
                <c:pt idx="3">
                  <c:v>7.7904347584418101</c:v>
                </c:pt>
                <c:pt idx="4">
                  <c:v>11.6777654950612</c:v>
                </c:pt>
                <c:pt idx="5">
                  <c:v>15.2572422026373</c:v>
                </c:pt>
                <c:pt idx="6">
                  <c:v>20.441628768387901</c:v>
                </c:pt>
                <c:pt idx="7">
                  <c:v>27.338159414546901</c:v>
                </c:pt>
                <c:pt idx="8">
                  <c:v>35.219618994034597</c:v>
                </c:pt>
                <c:pt idx="9">
                  <c:v>45.738756861938</c:v>
                </c:pt>
                <c:pt idx="10">
                  <c:v>57.778546600280002</c:v>
                </c:pt>
                <c:pt idx="11">
                  <c:v>75.514975989710607</c:v>
                </c:pt>
                <c:pt idx="12">
                  <c:v>88.1514674086025</c:v>
                </c:pt>
                <c:pt idx="13">
                  <c:v>103.150258589666</c:v>
                </c:pt>
                <c:pt idx="14">
                  <c:v>119.65574554884201</c:v>
                </c:pt>
                <c:pt idx="15">
                  <c:v>137.69724161790199</c:v>
                </c:pt>
                <c:pt idx="16">
                  <c:v>157.72869295647499</c:v>
                </c:pt>
                <c:pt idx="17">
                  <c:v>179.315383832962</c:v>
                </c:pt>
                <c:pt idx="18">
                  <c:v>203.41442364536499</c:v>
                </c:pt>
                <c:pt idx="19">
                  <c:v>226.688535358416</c:v>
                </c:pt>
                <c:pt idx="20">
                  <c:v>269.12645438521702</c:v>
                </c:pt>
              </c:numCache>
            </c:numRef>
          </c:xVal>
          <c:yVal>
            <c:numRef>
              <c:f>'T-Motor Antigravity 7005 KV230 '!$M$4:$M$28</c:f>
              <c:numCache>
                <c:formatCode>General</c:formatCode>
                <c:ptCount val="25"/>
                <c:pt idx="0">
                  <c:v>-1.393231424838167E-3</c:v>
                </c:pt>
                <c:pt idx="1">
                  <c:v>0.22998370924470285</c:v>
                </c:pt>
                <c:pt idx="2">
                  <c:v>0.34975175117988283</c:v>
                </c:pt>
                <c:pt idx="3">
                  <c:v>0.51355807056791469</c:v>
                </c:pt>
                <c:pt idx="4">
                  <c:v>0.66576173246902703</c:v>
                </c:pt>
                <c:pt idx="5">
                  <c:v>0.82265544974223914</c:v>
                </c:pt>
                <c:pt idx="6">
                  <c:v>0.98468720178019609</c:v>
                </c:pt>
                <c:pt idx="7">
                  <c:v>1.2144939674181441</c:v>
                </c:pt>
                <c:pt idx="8">
                  <c:v>1.4274122277174806</c:v>
                </c:pt>
                <c:pt idx="9">
                  <c:v>1.6912493885958004</c:v>
                </c:pt>
                <c:pt idx="10">
                  <c:v>1.9765708720202506</c:v>
                </c:pt>
                <c:pt idx="11">
                  <c:v>2.3465041513407336</c:v>
                </c:pt>
                <c:pt idx="12">
                  <c:v>2.6095820660975595</c:v>
                </c:pt>
                <c:pt idx="13">
                  <c:v>2.9225443956228241</c:v>
                </c:pt>
                <c:pt idx="14">
                  <c:v>3.2426128225560928</c:v>
                </c:pt>
                <c:pt idx="15">
                  <c:v>3.5373012229396448</c:v>
                </c:pt>
                <c:pt idx="16">
                  <c:v>3.8600713665359341</c:v>
                </c:pt>
                <c:pt idx="17">
                  <c:v>4.2223873857575676</c:v>
                </c:pt>
                <c:pt idx="18">
                  <c:v>4.5432381181107147</c:v>
                </c:pt>
                <c:pt idx="19">
                  <c:v>4.9226342354431623</c:v>
                </c:pt>
                <c:pt idx="20">
                  <c:v>5.5080938747426176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6-4B82-8D0E-31C95AB8A186}"/>
            </c:ext>
          </c:extLst>
        </c:ser>
        <c:ser>
          <c:idx val="3"/>
          <c:order val="3"/>
          <c:tx>
            <c:v>T_req vs P_req for T-motor P16x54 in Hexacopter Configuration</c:v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'Important Info'!$D$18:$D$38</c:f>
              <c:numCache>
                <c:formatCode>General</c:formatCode>
                <c:ptCount val="21"/>
                <c:pt idx="0">
                  <c:v>0</c:v>
                </c:pt>
                <c:pt idx="1">
                  <c:v>4.47</c:v>
                </c:pt>
                <c:pt idx="2">
                  <c:v>12.66</c:v>
                </c:pt>
                <c:pt idx="3">
                  <c:v>23.25</c:v>
                </c:pt>
                <c:pt idx="4">
                  <c:v>35.799999999999997</c:v>
                </c:pt>
                <c:pt idx="5">
                  <c:v>50.03</c:v>
                </c:pt>
                <c:pt idx="6">
                  <c:v>65.77</c:v>
                </c:pt>
                <c:pt idx="7">
                  <c:v>82.88</c:v>
                </c:pt>
                <c:pt idx="8">
                  <c:v>101.26</c:v>
                </c:pt>
                <c:pt idx="9">
                  <c:v>120.82</c:v>
                </c:pt>
                <c:pt idx="10">
                  <c:v>141.51</c:v>
                </c:pt>
                <c:pt idx="11">
                  <c:v>163.26</c:v>
                </c:pt>
                <c:pt idx="12">
                  <c:v>186.02</c:v>
                </c:pt>
                <c:pt idx="13">
                  <c:v>209.75</c:v>
                </c:pt>
                <c:pt idx="14">
                  <c:v>234.41</c:v>
                </c:pt>
                <c:pt idx="15">
                  <c:v>259.97000000000003</c:v>
                </c:pt>
                <c:pt idx="16">
                  <c:v>286.39999999999998</c:v>
                </c:pt>
                <c:pt idx="17">
                  <c:v>313.66000000000003</c:v>
                </c:pt>
                <c:pt idx="18">
                  <c:v>341.74</c:v>
                </c:pt>
                <c:pt idx="19">
                  <c:v>370.61</c:v>
                </c:pt>
                <c:pt idx="20">
                  <c:v>400.26</c:v>
                </c:pt>
              </c:numCache>
            </c:numRef>
          </c:xVal>
          <c:yVal>
            <c:numRef>
              <c:f>'Important Info'!$C$18:$C$38</c:f>
              <c:numCache>
                <c:formatCode>General</c:formatCode>
                <c:ptCount val="21"/>
                <c:pt idx="0">
                  <c:v>0</c:v>
                </c:pt>
                <c:pt idx="1">
                  <c:v>0.41663098092954209</c:v>
                </c:pt>
                <c:pt idx="2">
                  <c:v>0.83326196185908419</c:v>
                </c:pt>
                <c:pt idx="3">
                  <c:v>1.2498929427886261</c:v>
                </c:pt>
                <c:pt idx="4">
                  <c:v>1.6665239237181684</c:v>
                </c:pt>
                <c:pt idx="5">
                  <c:v>2.08315490464771</c:v>
                </c:pt>
                <c:pt idx="6">
                  <c:v>2.4997858855772521</c:v>
                </c:pt>
                <c:pt idx="7">
                  <c:v>2.9164168665067942</c:v>
                </c:pt>
                <c:pt idx="8">
                  <c:v>3.3330478474363368</c:v>
                </c:pt>
                <c:pt idx="9">
                  <c:v>3.749678828365878</c:v>
                </c:pt>
                <c:pt idx="10">
                  <c:v>4.1663098092954201</c:v>
                </c:pt>
                <c:pt idx="11">
                  <c:v>4.5829407902249626</c:v>
                </c:pt>
                <c:pt idx="12">
                  <c:v>4.9995717711545042</c:v>
                </c:pt>
                <c:pt idx="13">
                  <c:v>5.4162027520840477</c:v>
                </c:pt>
                <c:pt idx="14">
                  <c:v>5.8328337330135884</c:v>
                </c:pt>
                <c:pt idx="15">
                  <c:v>6.249464713943131</c:v>
                </c:pt>
                <c:pt idx="16">
                  <c:v>6.6660956948726735</c:v>
                </c:pt>
                <c:pt idx="17">
                  <c:v>7.0827266758022143</c:v>
                </c:pt>
                <c:pt idx="18">
                  <c:v>7.4993576567317559</c:v>
                </c:pt>
                <c:pt idx="19">
                  <c:v>7.9159886376612993</c:v>
                </c:pt>
                <c:pt idx="20">
                  <c:v>8.3326196185908401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C26-4B82-8D0E-31C95AB8A186}"/>
            </c:ext>
          </c:extLst>
        </c:ser>
        <c:ser>
          <c:idx val="5"/>
          <c:order val="4"/>
          <c:tx>
            <c:v>T_req vs P_req for T-motor P18x61 in Hexacopter Configuration</c:v>
          </c:tx>
          <c:spPr>
            <a:ln w="19050" cap="rnd">
              <a:solidFill>
                <a:schemeClr val="accent6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'Important Info'!$F$18:$F$38</c:f>
              <c:numCache>
                <c:formatCode>General</c:formatCode>
                <c:ptCount val="21"/>
                <c:pt idx="0">
                  <c:v>0</c:v>
                </c:pt>
                <c:pt idx="1">
                  <c:v>3.98</c:v>
                </c:pt>
                <c:pt idx="2">
                  <c:v>11.25</c:v>
                </c:pt>
                <c:pt idx="3">
                  <c:v>20.67</c:v>
                </c:pt>
                <c:pt idx="4">
                  <c:v>31.82</c:v>
                </c:pt>
                <c:pt idx="5">
                  <c:v>44.47</c:v>
                </c:pt>
                <c:pt idx="6">
                  <c:v>58.46</c:v>
                </c:pt>
                <c:pt idx="7">
                  <c:v>73.67</c:v>
                </c:pt>
                <c:pt idx="8">
                  <c:v>90.01</c:v>
                </c:pt>
                <c:pt idx="9">
                  <c:v>107.4</c:v>
                </c:pt>
                <c:pt idx="10">
                  <c:v>125.79</c:v>
                </c:pt>
                <c:pt idx="11">
                  <c:v>145.12</c:v>
                </c:pt>
                <c:pt idx="12">
                  <c:v>165.35</c:v>
                </c:pt>
                <c:pt idx="13">
                  <c:v>186.45</c:v>
                </c:pt>
                <c:pt idx="14">
                  <c:v>208.37</c:v>
                </c:pt>
                <c:pt idx="15">
                  <c:v>231.09</c:v>
                </c:pt>
                <c:pt idx="16">
                  <c:v>254.58</c:v>
                </c:pt>
                <c:pt idx="17">
                  <c:v>278.81</c:v>
                </c:pt>
                <c:pt idx="18">
                  <c:v>303.77</c:v>
                </c:pt>
                <c:pt idx="19">
                  <c:v>329.44</c:v>
                </c:pt>
                <c:pt idx="20">
                  <c:v>355.78</c:v>
                </c:pt>
              </c:numCache>
            </c:numRef>
          </c:xVal>
          <c:yVal>
            <c:numRef>
              <c:f>'Important Info'!$C$18:$C$38</c:f>
              <c:numCache>
                <c:formatCode>General</c:formatCode>
                <c:ptCount val="21"/>
                <c:pt idx="0">
                  <c:v>0</c:v>
                </c:pt>
                <c:pt idx="1">
                  <c:v>0.41663098092954209</c:v>
                </c:pt>
                <c:pt idx="2">
                  <c:v>0.83326196185908419</c:v>
                </c:pt>
                <c:pt idx="3">
                  <c:v>1.2498929427886261</c:v>
                </c:pt>
                <c:pt idx="4">
                  <c:v>1.6665239237181684</c:v>
                </c:pt>
                <c:pt idx="5">
                  <c:v>2.08315490464771</c:v>
                </c:pt>
                <c:pt idx="6">
                  <c:v>2.4997858855772521</c:v>
                </c:pt>
                <c:pt idx="7">
                  <c:v>2.9164168665067942</c:v>
                </c:pt>
                <c:pt idx="8">
                  <c:v>3.3330478474363368</c:v>
                </c:pt>
                <c:pt idx="9">
                  <c:v>3.749678828365878</c:v>
                </c:pt>
                <c:pt idx="10">
                  <c:v>4.1663098092954201</c:v>
                </c:pt>
                <c:pt idx="11">
                  <c:v>4.5829407902249626</c:v>
                </c:pt>
                <c:pt idx="12">
                  <c:v>4.9995717711545042</c:v>
                </c:pt>
                <c:pt idx="13">
                  <c:v>5.4162027520840477</c:v>
                </c:pt>
                <c:pt idx="14">
                  <c:v>5.8328337330135884</c:v>
                </c:pt>
                <c:pt idx="15">
                  <c:v>6.249464713943131</c:v>
                </c:pt>
                <c:pt idx="16">
                  <c:v>6.6660956948726735</c:v>
                </c:pt>
                <c:pt idx="17">
                  <c:v>7.0827266758022143</c:v>
                </c:pt>
                <c:pt idx="18">
                  <c:v>7.4993576567317559</c:v>
                </c:pt>
                <c:pt idx="19">
                  <c:v>7.9159886376612993</c:v>
                </c:pt>
                <c:pt idx="20">
                  <c:v>8.3326196185908401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C26-4B82-8D0E-31C95AB8A186}"/>
            </c:ext>
          </c:extLst>
        </c:ser>
        <c:ser>
          <c:idx val="4"/>
          <c:order val="5"/>
          <c:tx>
            <c:v>T_req vs P_req for T-motor P20x6 in Hexacopter Configuration</c:v>
          </c:tx>
          <c:spPr>
            <a:ln w="19050" cap="rnd">
              <a:solidFill>
                <a:schemeClr val="accent5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'Important Info'!$E$18:$E$38</c:f>
              <c:numCache>
                <c:formatCode>General</c:formatCode>
                <c:ptCount val="21"/>
                <c:pt idx="0">
                  <c:v>0</c:v>
                </c:pt>
                <c:pt idx="1">
                  <c:v>3.58</c:v>
                </c:pt>
                <c:pt idx="2">
                  <c:v>10.130000000000001</c:v>
                </c:pt>
                <c:pt idx="3">
                  <c:v>18.600000000000001</c:v>
                </c:pt>
                <c:pt idx="4">
                  <c:v>28.64</c:v>
                </c:pt>
                <c:pt idx="5">
                  <c:v>40.03</c:v>
                </c:pt>
                <c:pt idx="6">
                  <c:v>52.61</c:v>
                </c:pt>
                <c:pt idx="7">
                  <c:v>66.3</c:v>
                </c:pt>
                <c:pt idx="8">
                  <c:v>81.010000000000005</c:v>
                </c:pt>
                <c:pt idx="9">
                  <c:v>96.66</c:v>
                </c:pt>
                <c:pt idx="10">
                  <c:v>113.21</c:v>
                </c:pt>
                <c:pt idx="11">
                  <c:v>130.61000000000001</c:v>
                </c:pt>
                <c:pt idx="12">
                  <c:v>148.82</c:v>
                </c:pt>
                <c:pt idx="13">
                  <c:v>167.8</c:v>
                </c:pt>
                <c:pt idx="14">
                  <c:v>187.53</c:v>
                </c:pt>
                <c:pt idx="15">
                  <c:v>207.98</c:v>
                </c:pt>
                <c:pt idx="16">
                  <c:v>229.12</c:v>
                </c:pt>
                <c:pt idx="17">
                  <c:v>250.93</c:v>
                </c:pt>
                <c:pt idx="18">
                  <c:v>273.39999999999998</c:v>
                </c:pt>
                <c:pt idx="19">
                  <c:v>296.49</c:v>
                </c:pt>
                <c:pt idx="20">
                  <c:v>320.2</c:v>
                </c:pt>
              </c:numCache>
            </c:numRef>
          </c:xVal>
          <c:yVal>
            <c:numRef>
              <c:f>'Important Info'!$C$18:$C$38</c:f>
              <c:numCache>
                <c:formatCode>General</c:formatCode>
                <c:ptCount val="21"/>
                <c:pt idx="0">
                  <c:v>0</c:v>
                </c:pt>
                <c:pt idx="1">
                  <c:v>0.41663098092954209</c:v>
                </c:pt>
                <c:pt idx="2">
                  <c:v>0.83326196185908419</c:v>
                </c:pt>
                <c:pt idx="3">
                  <c:v>1.2498929427886261</c:v>
                </c:pt>
                <c:pt idx="4">
                  <c:v>1.6665239237181684</c:v>
                </c:pt>
                <c:pt idx="5">
                  <c:v>2.08315490464771</c:v>
                </c:pt>
                <c:pt idx="6">
                  <c:v>2.4997858855772521</c:v>
                </c:pt>
                <c:pt idx="7">
                  <c:v>2.9164168665067942</c:v>
                </c:pt>
                <c:pt idx="8">
                  <c:v>3.3330478474363368</c:v>
                </c:pt>
                <c:pt idx="9">
                  <c:v>3.749678828365878</c:v>
                </c:pt>
                <c:pt idx="10">
                  <c:v>4.1663098092954201</c:v>
                </c:pt>
                <c:pt idx="11">
                  <c:v>4.5829407902249626</c:v>
                </c:pt>
                <c:pt idx="12">
                  <c:v>4.9995717711545042</c:v>
                </c:pt>
                <c:pt idx="13">
                  <c:v>5.4162027520840477</c:v>
                </c:pt>
                <c:pt idx="14">
                  <c:v>5.8328337330135884</c:v>
                </c:pt>
                <c:pt idx="15">
                  <c:v>6.249464713943131</c:v>
                </c:pt>
                <c:pt idx="16">
                  <c:v>6.6660956948726735</c:v>
                </c:pt>
                <c:pt idx="17">
                  <c:v>7.0827266758022143</c:v>
                </c:pt>
                <c:pt idx="18">
                  <c:v>7.4993576567317559</c:v>
                </c:pt>
                <c:pt idx="19">
                  <c:v>7.9159886376612993</c:v>
                </c:pt>
                <c:pt idx="20">
                  <c:v>8.3326196185908401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C26-4B82-8D0E-31C95AB8A186}"/>
            </c:ext>
          </c:extLst>
        </c:ser>
        <c:ser>
          <c:idx val="6"/>
          <c:order val="6"/>
          <c:tx>
            <c:v>Max Theoretical Power Available per Prop</c:v>
          </c:tx>
          <c:spPr>
            <a:ln w="2540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266.67</c:v>
              </c:pt>
              <c:pt idx="1">
                <c:v>266.67</c:v>
              </c:pt>
            </c:numLit>
          </c:xVal>
          <c:yVal>
            <c:numLit>
              <c:formatCode>General</c:formatCode>
              <c:ptCount val="2"/>
              <c:pt idx="0">
                <c:v>-10</c:v>
              </c:pt>
              <c:pt idx="1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9C26-4B82-8D0E-31C95AB8A186}"/>
            </c:ext>
          </c:extLst>
        </c:ser>
        <c:ser>
          <c:idx val="8"/>
          <c:order val="7"/>
          <c:tx>
            <c:v>T_req at 25 lbs</c:v>
          </c:tx>
          <c:spPr>
            <a:ln w="254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</c:v>
              </c:pt>
            </c:numLit>
          </c:xVal>
          <c:yVal>
            <c:numRef>
              <c:f>('T-Motor U7 490kV with T-Motor P'!$J$34,'T-Motor U7 490kV with T-Motor P'!$J$34)</c:f>
              <c:numCache>
                <c:formatCode>General</c:formatCode>
                <c:ptCount val="2"/>
                <c:pt idx="0">
                  <c:v>4.1663098092954201</c:v>
                </c:pt>
                <c:pt idx="1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C26-4B82-8D0E-31C95AB8A186}"/>
            </c:ext>
          </c:extLst>
        </c:ser>
        <c:ser>
          <c:idx val="7"/>
          <c:order val="8"/>
          <c:tx>
            <c:v>P_req at 25 lbs for T-Motor 16x54 in Hexacopter Configuration</c:v>
          </c:tx>
          <c:spPr>
            <a:ln w="254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('Important Info'!$I$6,'Important Info'!$I$6)</c:f>
              <c:numCache>
                <c:formatCode>General</c:formatCode>
                <c:ptCount val="2"/>
                <c:pt idx="0">
                  <c:v>141.51166666666668</c:v>
                </c:pt>
                <c:pt idx="1">
                  <c:v>141.51166666666668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-10</c:v>
              </c:pt>
              <c:pt idx="1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9C26-4B82-8D0E-31C95AB8A186}"/>
            </c:ext>
          </c:extLst>
        </c:ser>
        <c:ser>
          <c:idx val="9"/>
          <c:order val="9"/>
          <c:tx>
            <c:v>Data point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3900493487875447E-2"/>
                  <c:y val="-8.45406712566823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141.5</a:t>
                    </a:r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9C26-4B82-8D0E-31C95AB8A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'Important Info'!$I$6</c:f>
              <c:numCache>
                <c:formatCode>General</c:formatCode>
                <c:ptCount val="1"/>
                <c:pt idx="0">
                  <c:v>141.51166666666668</c:v>
                </c:pt>
              </c:numCache>
            </c:numRef>
          </c:xVal>
          <c:yVal>
            <c:numRef>
              <c:f>'T-Motor U7 490kV with T-Motor P'!$J$34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C26-4B82-8D0E-31C95AB8A186}"/>
            </c:ext>
          </c:extLst>
        </c:ser>
        <c:ser>
          <c:idx val="10"/>
          <c:order val="10"/>
          <c:tx>
            <c:v>Data Point 2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1128648133046137E-3"/>
                  <c:y val="5.67057698344057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205.3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C26-4B82-8D0E-31C95AB8A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P'!$O$34</c:f>
              <c:numCache>
                <c:formatCode>General</c:formatCode>
                <c:ptCount val="1"/>
                <c:pt idx="0">
                  <c:v>205.29</c:v>
                </c:pt>
              </c:numCache>
            </c:numRef>
          </c:xVal>
          <c:yVal>
            <c:numRef>
              <c:f>'T-Motor U7 490kV with T-Motor P'!$J$34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C26-4B82-8D0E-31C95AB8A186}"/>
            </c:ext>
          </c:extLst>
        </c:ser>
        <c:ser>
          <c:idx val="12"/>
          <c:order val="11"/>
          <c:tx>
            <c:v>P_req at 25 lbs for T-Motor P18x61 in Hexacopter Configuration</c:v>
          </c:tx>
          <c:spPr>
            <a:ln w="25400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('Important Info'!$F$28,'Important Info'!$F$28)</c:f>
              <c:numCache>
                <c:formatCode>General</c:formatCode>
                <c:ptCount val="2"/>
                <c:pt idx="0">
                  <c:v>125.79</c:v>
                </c:pt>
                <c:pt idx="1">
                  <c:v>125.79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-10</c:v>
              </c:pt>
              <c:pt idx="1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164-4C1B-87EF-690AEAF4461C}"/>
            </c:ext>
          </c:extLst>
        </c:ser>
        <c:ser>
          <c:idx val="11"/>
          <c:order val="12"/>
          <c:tx>
            <c:v>P_req at 25 lbs for T-Motor P20x6 in Hexacopter Configuration</c:v>
          </c:tx>
          <c:spPr>
            <a:ln w="254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('Important Info'!$E$28,'Important Info'!$E$28)</c:f>
              <c:numCache>
                <c:formatCode>General</c:formatCode>
                <c:ptCount val="2"/>
                <c:pt idx="0">
                  <c:v>113.21</c:v>
                </c:pt>
                <c:pt idx="1">
                  <c:v>113.21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-10</c:v>
              </c:pt>
              <c:pt idx="1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164-4C1B-87EF-690AEAF4461C}"/>
            </c:ext>
          </c:extLst>
        </c:ser>
        <c:ser>
          <c:idx val="13"/>
          <c:order val="13"/>
          <c:tx>
            <c:v>Data Point 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6080384012111904E-2"/>
                  <c:y val="-8.10619098142597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125.8</a:t>
                    </a:r>
                  </a:p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5164-4C1B-87EF-690AEAF446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'Important Info'!$F$28</c:f>
              <c:numCache>
                <c:formatCode>General</c:formatCode>
                <c:ptCount val="1"/>
                <c:pt idx="0">
                  <c:v>125.79</c:v>
                </c:pt>
              </c:numCache>
            </c:numRef>
          </c:xVal>
          <c:yVal>
            <c:numRef>
              <c:f>'Important Info'!$C$28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64-4C1B-87EF-690AEAF4461C}"/>
            </c:ext>
          </c:extLst>
        </c:ser>
        <c:ser>
          <c:idx val="14"/>
          <c:order val="14"/>
          <c:tx>
            <c:v>Data Point 4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637925053587782E-3"/>
                  <c:y val="6.11787998598186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175.6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5164-4C1B-87EF-690AEAF446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Antigravity 7005 KV230 '!$O$34</c:f>
              <c:numCache>
                <c:formatCode>General</c:formatCode>
                <c:ptCount val="1"/>
                <c:pt idx="0">
                  <c:v>175.57</c:v>
                </c:pt>
              </c:numCache>
            </c:numRef>
          </c:xVal>
          <c:yVal>
            <c:numRef>
              <c:f>'Important Info'!$C$28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64-4C1B-87EF-690AEAF4461C}"/>
            </c:ext>
          </c:extLst>
        </c:ser>
        <c:ser>
          <c:idx val="15"/>
          <c:order val="15"/>
          <c:tx>
            <c:v>Data Point 5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943661813139941E-2"/>
                  <c:y val="-3.8236749912386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113.2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164-4C1B-87EF-690AEAF446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'Important Info'!$E$28</c:f>
              <c:numCache>
                <c:formatCode>General</c:formatCode>
                <c:ptCount val="1"/>
                <c:pt idx="0">
                  <c:v>113.21</c:v>
                </c:pt>
              </c:numCache>
            </c:numRef>
          </c:xVal>
          <c:yVal>
            <c:numRef>
              <c:f>'Important Info'!$C$28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164-4C1B-87EF-690AEAF4461C}"/>
            </c:ext>
          </c:extLst>
        </c:ser>
        <c:ser>
          <c:idx val="16"/>
          <c:order val="16"/>
          <c:tx>
            <c:v>Data Point 6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3953967166819386E-2"/>
                  <c:y val="8.41208498072506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159.9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164-4C1B-87EF-690AEAF446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Antigravity 7005-230 wi'!$O$34</c:f>
              <c:numCache>
                <c:formatCode>General</c:formatCode>
                <c:ptCount val="1"/>
                <c:pt idx="0">
                  <c:v>159.88999999999999</c:v>
                </c:pt>
              </c:numCache>
            </c:numRef>
          </c:xVal>
          <c:yVal>
            <c:numRef>
              <c:f>'Important Info'!$C$28</c:f>
              <c:numCache>
                <c:formatCode>General</c:formatCode>
                <c:ptCount val="1"/>
                <c:pt idx="0">
                  <c:v>4.1663098092954201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164-4C1B-87EF-690AEAF44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69168"/>
        <c:axId val="1820283888"/>
      </c:scatterChart>
      <c:valAx>
        <c:axId val="19474691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Output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283888"/>
        <c:crosses val="autoZero"/>
        <c:crossBetween val="midCat"/>
      </c:valAx>
      <c:valAx>
        <c:axId val="1820283888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Thrust (lbf)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46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9"/>
        <c:delete val="1"/>
      </c:legendEntry>
      <c:legendEntry>
        <c:idx val="10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Electrical Power Input per Motor vs RPM for Hexacopter Configuration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v>P_elec (W)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'T-Motor U7 490kV with T-Motor P'!$C$4:$C$28</c:f>
              <c:numCache>
                <c:formatCode>General</c:formatCode>
                <c:ptCount val="25"/>
                <c:pt idx="0">
                  <c:v>0</c:v>
                </c:pt>
                <c:pt idx="1">
                  <c:v>1756.99999999997</c:v>
                </c:pt>
                <c:pt idx="2">
                  <c:v>2268.00000000001</c:v>
                </c:pt>
                <c:pt idx="3">
                  <c:v>2708.00000000001</c:v>
                </c:pt>
                <c:pt idx="4">
                  <c:v>3147</c:v>
                </c:pt>
                <c:pt idx="5">
                  <c:v>3573.99999999996</c:v>
                </c:pt>
                <c:pt idx="6">
                  <c:v>3974.00000000002</c:v>
                </c:pt>
                <c:pt idx="7">
                  <c:v>4479.00000000003</c:v>
                </c:pt>
                <c:pt idx="8">
                  <c:v>5050.99999999998</c:v>
                </c:pt>
                <c:pt idx="9">
                  <c:v>5517.99999999997</c:v>
                </c:pt>
                <c:pt idx="10">
                  <c:v>5947.00000000003</c:v>
                </c:pt>
                <c:pt idx="11">
                  <c:v>6383.00000000001</c:v>
                </c:pt>
                <c:pt idx="12">
                  <c:v>6792</c:v>
                </c:pt>
                <c:pt idx="13">
                  <c:v>7224.99999999998</c:v>
                </c:pt>
                <c:pt idx="14">
                  <c:v>7541.99999999996</c:v>
                </c:pt>
                <c:pt idx="15">
                  <c:v>7895.99999999996</c:v>
                </c:pt>
                <c:pt idx="16">
                  <c:v>8204.0000000000091</c:v>
                </c:pt>
              </c:numCache>
            </c:numRef>
          </c:xVal>
          <c:yVal>
            <c:numRef>
              <c:f>'T-Motor U7 490kV with T-Motor P'!$H$4:$H$28</c:f>
              <c:numCache>
                <c:formatCode>General</c:formatCode>
                <c:ptCount val="25"/>
                <c:pt idx="0">
                  <c:v>7.5956624181720599E-3</c:v>
                </c:pt>
                <c:pt idx="1">
                  <c:v>15.2504768760255</c:v>
                </c:pt>
                <c:pt idx="2">
                  <c:v>27.750589794305402</c:v>
                </c:pt>
                <c:pt idx="3">
                  <c:v>44.523904870216498</c:v>
                </c:pt>
                <c:pt idx="4">
                  <c:v>63.642737068754002</c:v>
                </c:pt>
                <c:pt idx="5">
                  <c:v>88.095193813414198</c:v>
                </c:pt>
                <c:pt idx="6">
                  <c:v>115.844496605741</c:v>
                </c:pt>
                <c:pt idx="7">
                  <c:v>159.91725204198301</c:v>
                </c:pt>
                <c:pt idx="8">
                  <c:v>222.66315728735299</c:v>
                </c:pt>
                <c:pt idx="9">
                  <c:v>284.61452826061799</c:v>
                </c:pt>
                <c:pt idx="10">
                  <c:v>353.82163133131297</c:v>
                </c:pt>
                <c:pt idx="11">
                  <c:v>443.93092996787499</c:v>
                </c:pt>
                <c:pt idx="12">
                  <c:v>541.03764381440396</c:v>
                </c:pt>
                <c:pt idx="13">
                  <c:v>626.09598136911495</c:v>
                </c:pt>
                <c:pt idx="14">
                  <c:v>754.51764418247797</c:v>
                </c:pt>
                <c:pt idx="15">
                  <c:v>874.72848329707699</c:v>
                </c:pt>
                <c:pt idx="16">
                  <c:v>1006.66705594732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BB-4461-B378-EC11FE8A5279}"/>
            </c:ext>
          </c:extLst>
        </c:ser>
        <c:ser>
          <c:idx val="0"/>
          <c:order val="1"/>
          <c:tx>
            <c:v>P_elec,req at 20 lbs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P'!$N$33,'T-Motor U7 490kV with T-Motor P'!$N$33)</c:f>
              <c:numCache>
                <c:formatCode>General</c:formatCode>
                <c:ptCount val="2"/>
                <c:pt idx="0">
                  <c:v>203.22</c:v>
                </c:pt>
                <c:pt idx="1">
                  <c:v>203.22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BB-4461-B378-EC11FE8A5279}"/>
            </c:ext>
          </c:extLst>
        </c:ser>
        <c:ser>
          <c:idx val="1"/>
          <c:order val="2"/>
          <c:tx>
            <c:v>P_elec,req at 25 lbs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P'!$N$34,'T-Motor U7 490kV with T-Motor P'!$N$34)</c:f>
              <c:numCache>
                <c:formatCode>General</c:formatCode>
                <c:ptCount val="2"/>
                <c:pt idx="0">
                  <c:v>264.37</c:v>
                </c:pt>
                <c:pt idx="1">
                  <c:v>264.37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BB-4461-B378-EC11FE8A5279}"/>
            </c:ext>
          </c:extLst>
        </c:ser>
        <c:ser>
          <c:idx val="2"/>
          <c:order val="3"/>
          <c:tx>
            <c:v>P_elec,req at 30 lbs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Ref>
              <c:f>('T-Motor U7 490kV with T-Motor P'!$N$35,'T-Motor U7 490kV with T-Motor P'!$N$35)</c:f>
              <c:numCache>
                <c:formatCode>General</c:formatCode>
                <c:ptCount val="2"/>
                <c:pt idx="0">
                  <c:v>361.56</c:v>
                </c:pt>
                <c:pt idx="1">
                  <c:v>361.56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BB-4461-B378-EC11FE8A5279}"/>
            </c:ext>
          </c:extLst>
        </c:ser>
        <c:ser>
          <c:idx val="3"/>
          <c:order val="4"/>
          <c:tx>
            <c:v>Data point 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4667077433580838E-3"/>
                  <c:y val="6.06856090604393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BB-4461-B378-EC11FE8A5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P'!$K$33</c:f>
              <c:numCache>
                <c:formatCode>General</c:formatCode>
                <c:ptCount val="1"/>
                <c:pt idx="0">
                  <c:v>4886.3</c:v>
                </c:pt>
              </c:numCache>
            </c:numRef>
          </c:xVal>
          <c:yVal>
            <c:numRef>
              <c:f>'T-Motor U7 490kV with T-Motor P'!$N$33</c:f>
              <c:numCache>
                <c:formatCode>General</c:formatCode>
                <c:ptCount val="1"/>
                <c:pt idx="0">
                  <c:v>203.22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BB-4461-B378-EC11FE8A5279}"/>
            </c:ext>
          </c:extLst>
        </c:ser>
        <c:ser>
          <c:idx val="4"/>
          <c:order val="5"/>
          <c:tx>
            <c:v>Data Point 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9600492920297078E-2"/>
                  <c:y val="-2.87458148181028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BB-4461-B378-EC11FE8A5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P'!$K$34</c:f>
              <c:numCache>
                <c:formatCode>General</c:formatCode>
                <c:ptCount val="1"/>
                <c:pt idx="0">
                  <c:v>5374.8</c:v>
                </c:pt>
              </c:numCache>
            </c:numRef>
          </c:xVal>
          <c:yVal>
            <c:numRef>
              <c:f>'T-Motor U7 490kV with T-Motor P'!$N$34</c:f>
              <c:numCache>
                <c:formatCode>General</c:formatCode>
                <c:ptCount val="1"/>
                <c:pt idx="0">
                  <c:v>264.37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BB-4461-B378-EC11FE8A5279}"/>
            </c:ext>
          </c:extLst>
        </c:ser>
        <c:ser>
          <c:idx val="5"/>
          <c:order val="6"/>
          <c:tx>
            <c:v>Data point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9600492920297009E-2"/>
                  <c:y val="-4.15217325150374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BB-4461-B378-EC11FE8A5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'T-Motor U7 490kV with T-Motor P'!$K$35</c:f>
              <c:numCache>
                <c:formatCode>General</c:formatCode>
                <c:ptCount val="1"/>
                <c:pt idx="0">
                  <c:v>5989.8</c:v>
                </c:pt>
              </c:numCache>
            </c:numRef>
          </c:xVal>
          <c:yVal>
            <c:numRef>
              <c:f>'T-Motor U7 490kV with T-Motor P'!$N$35</c:f>
              <c:numCache>
                <c:formatCode>General</c:formatCode>
                <c:ptCount val="1"/>
                <c:pt idx="0">
                  <c:v>361.56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BB-4461-B378-EC11FE8A5279}"/>
            </c:ext>
          </c:extLst>
        </c:ser>
        <c:ser>
          <c:idx val="7"/>
          <c:order val="7"/>
          <c:tx>
            <c:v>Max Theoretical Power Available per Prop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9000</c:v>
              </c:pt>
            </c:numLit>
          </c:xVal>
          <c:yVal>
            <c:numLit>
              <c:formatCode>General</c:formatCode>
              <c:ptCount val="2"/>
              <c:pt idx="0">
                <c:v>266.7</c:v>
              </c:pt>
              <c:pt idx="1">
                <c:v>266.7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2BB-4461-B378-EC11FE8A5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013375"/>
        <c:axId val="1465014815"/>
      </c:scatterChart>
      <c:valAx>
        <c:axId val="1465013375"/>
        <c:scaling>
          <c:orientation val="minMax"/>
          <c:max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4815"/>
        <c:crosses val="autoZero"/>
        <c:crossBetween val="midCat"/>
      </c:valAx>
      <c:valAx>
        <c:axId val="1465014815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Input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013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of Flight vs Weight (Batteries Only)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One 6s Lipo Battery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 Calculator'!$S$30:$S$45</c:f>
              <c:numCache>
                <c:formatCode>General</c:formatCode>
                <c:ptCount val="16"/>
                <c:pt idx="0">
                  <c:v>13.7</c:v>
                </c:pt>
                <c:pt idx="1">
                  <c:v>14.7</c:v>
                </c:pt>
                <c:pt idx="2">
                  <c:v>15.7</c:v>
                </c:pt>
                <c:pt idx="3">
                  <c:v>16.7</c:v>
                </c:pt>
                <c:pt idx="4">
                  <c:v>17.7</c:v>
                </c:pt>
                <c:pt idx="5">
                  <c:v>18.7</c:v>
                </c:pt>
                <c:pt idx="6">
                  <c:v>19.7</c:v>
                </c:pt>
                <c:pt idx="7">
                  <c:v>20.7</c:v>
                </c:pt>
                <c:pt idx="8">
                  <c:v>21.7</c:v>
                </c:pt>
                <c:pt idx="9">
                  <c:v>22.7</c:v>
                </c:pt>
                <c:pt idx="10">
                  <c:v>23.7</c:v>
                </c:pt>
                <c:pt idx="11">
                  <c:v>24.7</c:v>
                </c:pt>
                <c:pt idx="12">
                  <c:v>25.7</c:v>
                </c:pt>
                <c:pt idx="13">
                  <c:v>26.7</c:v>
                </c:pt>
                <c:pt idx="14">
                  <c:v>27.7</c:v>
                </c:pt>
                <c:pt idx="15">
                  <c:v>28.7</c:v>
                </c:pt>
              </c:numCache>
            </c:numRef>
          </c:xVal>
          <c:yVal>
            <c:numRef>
              <c:f>'Flight Time Calculator'!$W$30:$W$45</c:f>
              <c:numCache>
                <c:formatCode>[h]:mm:ss;@</c:formatCode>
                <c:ptCount val="16"/>
                <c:pt idx="0">
                  <c:v>4.7872934843241526E-3</c:v>
                </c:pt>
                <c:pt idx="1">
                  <c:v>4.3871696361921153E-3</c:v>
                </c:pt>
                <c:pt idx="2">
                  <c:v>4.0580839973550437E-3</c:v>
                </c:pt>
                <c:pt idx="3">
                  <c:v>3.7710940845865969E-3</c:v>
                </c:pt>
                <c:pt idx="4">
                  <c:v>3.5135317079917684E-3</c:v>
                </c:pt>
                <c:pt idx="5">
                  <c:v>3.2845121776071094E-3</c:v>
                </c:pt>
                <c:pt idx="6">
                  <c:v>3.0829345752094194E-3</c:v>
                </c:pt>
                <c:pt idx="7">
                  <c:v>2.9070577636058723E-3</c:v>
                </c:pt>
                <c:pt idx="8">
                  <c:v>2.7549176022863228E-3</c:v>
                </c:pt>
                <c:pt idx="9">
                  <c:v>2.6220074676426559E-3</c:v>
                </c:pt>
                <c:pt idx="10">
                  <c:v>2.497969220372276E-3</c:v>
                </c:pt>
                <c:pt idx="11">
                  <c:v>2.3745130681630112E-3</c:v>
                </c:pt>
                <c:pt idx="12">
                  <c:v>2.246352175869958E-3</c:v>
                </c:pt>
                <c:pt idx="13">
                  <c:v>2.1110224730028822E-3</c:v>
                </c:pt>
                <c:pt idx="14">
                  <c:v>1.974226810010428E-3</c:v>
                </c:pt>
                <c:pt idx="15">
                  <c:v>1.8468637265480056E-3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40-45E9-B696-374060DA4C09}"/>
            </c:ext>
          </c:extLst>
        </c:ser>
        <c:ser>
          <c:idx val="0"/>
          <c:order val="1"/>
          <c:tx>
            <c:v>Two 6s Lipo Batteries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 Calculator'!$N$30:$N$45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'Flight Time Calculator'!$R$30:$R$45</c:f>
              <c:numCache>
                <c:formatCode>[h]:mm:ss;@</c:formatCode>
                <c:ptCount val="16"/>
                <c:pt idx="0">
                  <c:v>8.5651671512357429E-3</c:v>
                </c:pt>
                <c:pt idx="1">
                  <c:v>7.9370655238536793E-3</c:v>
                </c:pt>
                <c:pt idx="2">
                  <c:v>7.3816123975217855E-3</c:v>
                </c:pt>
                <c:pt idx="3">
                  <c:v>6.8837216565988332E-3</c:v>
                </c:pt>
                <c:pt idx="4">
                  <c:v>6.4424577298846436E-3</c:v>
                </c:pt>
                <c:pt idx="5">
                  <c:v>6.0551215054816384E-3</c:v>
                </c:pt>
                <c:pt idx="6">
                  <c:v>5.7180276473385782E-3</c:v>
                </c:pt>
                <c:pt idx="7">
                  <c:v>5.4269618588737266E-3</c:v>
                </c:pt>
                <c:pt idx="8">
                  <c:v>5.1686102978969672E-3</c:v>
                </c:pt>
                <c:pt idx="9">
                  <c:v>4.9223316779468005E-3</c:v>
                </c:pt>
                <c:pt idx="10">
                  <c:v>4.6734555732298871E-3</c:v>
                </c:pt>
                <c:pt idx="11">
                  <c:v>4.4130536592898182E-3</c:v>
                </c:pt>
                <c:pt idx="12">
                  <c:v>4.1391362383069704E-3</c:v>
                </c:pt>
                <c:pt idx="13">
                  <c:v>3.8692928101678316E-3</c:v>
                </c:pt>
                <c:pt idx="14">
                  <c:v>3.623161445701704E-3</c:v>
                </c:pt>
                <c:pt idx="15">
                  <c:v>3.4115099920089781E-3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40-45E9-B696-374060DA4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283632"/>
        <c:axId val="600295632"/>
      </c:scatterChart>
      <c:valAx>
        <c:axId val="600283632"/>
        <c:scaling>
          <c:orientation val="minMax"/>
          <c:max val="32"/>
          <c:min val="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95632"/>
        <c:crosses val="autoZero"/>
        <c:crossBetween val="midCat"/>
      </c:valAx>
      <c:valAx>
        <c:axId val="600295632"/>
        <c:scaling>
          <c:orientation val="minMax"/>
          <c:max val="9.0000000000000028E-3"/>
          <c:min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Flight (h:mm:ss)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]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3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of Flight Comparison for Different Motor-Prop Pairs at 25 lbs, Considering Two 6s Lipo Batteries as Only Power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T-Motor U7 490kV with T-Motor P16x54 (Current)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 Calculator'!$N$30:$N$45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'Flight Time Calculator'!$R$30:$R$45</c:f>
              <c:numCache>
                <c:formatCode>[h]:mm:ss;@</c:formatCode>
                <c:ptCount val="16"/>
                <c:pt idx="0">
                  <c:v>8.5651671512357429E-3</c:v>
                </c:pt>
                <c:pt idx="1">
                  <c:v>7.9370655238536793E-3</c:v>
                </c:pt>
                <c:pt idx="2">
                  <c:v>7.3816123975217855E-3</c:v>
                </c:pt>
                <c:pt idx="3">
                  <c:v>6.8837216565988332E-3</c:v>
                </c:pt>
                <c:pt idx="4">
                  <c:v>6.4424577298846436E-3</c:v>
                </c:pt>
                <c:pt idx="5">
                  <c:v>6.0551215054816384E-3</c:v>
                </c:pt>
                <c:pt idx="6">
                  <c:v>5.7180276473385782E-3</c:v>
                </c:pt>
                <c:pt idx="7">
                  <c:v>5.4269618588737266E-3</c:v>
                </c:pt>
                <c:pt idx="8">
                  <c:v>5.1686102978969672E-3</c:v>
                </c:pt>
                <c:pt idx="9">
                  <c:v>4.9223316779468005E-3</c:v>
                </c:pt>
                <c:pt idx="10">
                  <c:v>4.6734555732298871E-3</c:v>
                </c:pt>
                <c:pt idx="11">
                  <c:v>4.4130536592898182E-3</c:v>
                </c:pt>
                <c:pt idx="12">
                  <c:v>4.1391362383069704E-3</c:v>
                </c:pt>
                <c:pt idx="13">
                  <c:v>3.8692928101678316E-3</c:v>
                </c:pt>
                <c:pt idx="14">
                  <c:v>3.623161445701704E-3</c:v>
                </c:pt>
                <c:pt idx="15">
                  <c:v>3.4115099920089781E-3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7-46DF-BEDF-EBCE412EFF0A}"/>
            </c:ext>
          </c:extLst>
        </c:ser>
        <c:ser>
          <c:idx val="1"/>
          <c:order val="1"/>
          <c:tx>
            <c:v>T-Motor Antigravity 7005 kV230 with T-Motor P20x6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 Calculator'!$O$49:$O$64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'Flight Time Calculator'!$P$49:$P$64</c:f>
              <c:numCache>
                <c:formatCode>h:mm:ss;@</c:formatCode>
                <c:ptCount val="16"/>
                <c:pt idx="0">
                  <c:v>1.2884205497006168E-2</c:v>
                </c:pt>
                <c:pt idx="1">
                  <c:v>1.1926233362474281E-2</c:v>
                </c:pt>
                <c:pt idx="2">
                  <c:v>1.098183048675605E-2</c:v>
                </c:pt>
                <c:pt idx="3">
                  <c:v>1.010013334610366E-2</c:v>
                </c:pt>
                <c:pt idx="4">
                  <c:v>9.3134758525824802E-3</c:v>
                </c:pt>
                <c:pt idx="5">
                  <c:v>8.6397698152768081E-3</c:v>
                </c:pt>
                <c:pt idx="6">
                  <c:v>8.0813333363653605E-3</c:v>
                </c:pt>
                <c:pt idx="7">
                  <c:v>7.6159225889001168E-3</c:v>
                </c:pt>
                <c:pt idx="8">
                  <c:v>7.2146609910648954E-3</c:v>
                </c:pt>
                <c:pt idx="9">
                  <c:v>6.8482415404532539E-3</c:v>
                </c:pt>
                <c:pt idx="10">
                  <c:v>6.4789279939613705E-3</c:v>
                </c:pt>
                <c:pt idx="11">
                  <c:v>6.0927292611891786E-3</c:v>
                </c:pt>
                <c:pt idx="12">
                  <c:v>5.7439288840234063E-3</c:v>
                </c:pt>
                <c:pt idx="13">
                  <c:v>5.4837198543079904E-3</c:v>
                </c:pt>
                <c:pt idx="14">
                  <c:v>5.2815867043318762E-3</c:v>
                </c:pt>
                <c:pt idx="15">
                  <c:v>5.0491001073959749E-3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F7-46DF-BEDF-EBCE412EFF0A}"/>
            </c:ext>
          </c:extLst>
        </c:ser>
        <c:ser>
          <c:idx val="2"/>
          <c:order val="2"/>
          <c:tx>
            <c:v>T-Motor Antigravity 7005 kV230 with T-Motor P18x61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Time Calculator'!$O$49:$O$64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'Flight Time Calculator'!$Q$49:$Q$64</c:f>
              <c:numCache>
                <c:formatCode>h:mm:ss;@</c:formatCode>
                <c:ptCount val="16"/>
                <c:pt idx="0">
                  <c:v>1.1685053804169787E-2</c:v>
                </c:pt>
                <c:pt idx="1">
                  <c:v>1.0709052296192893E-2</c:v>
                </c:pt>
                <c:pt idx="2">
                  <c:v>9.8697806812747067E-3</c:v>
                </c:pt>
                <c:pt idx="3">
                  <c:v>9.1436912674852117E-3</c:v>
                </c:pt>
                <c:pt idx="4">
                  <c:v>8.5078920745420717E-3</c:v>
                </c:pt>
                <c:pt idx="5">
                  <c:v>7.9404283287142774E-3</c:v>
                </c:pt>
                <c:pt idx="6">
                  <c:v>7.4182146139222284E-3</c:v>
                </c:pt>
                <c:pt idx="7">
                  <c:v>6.9261363273888351E-3</c:v>
                </c:pt>
                <c:pt idx="8">
                  <c:v>6.4928239206681511E-3</c:v>
                </c:pt>
                <c:pt idx="9">
                  <c:v>6.1389048059714187E-3</c:v>
                </c:pt>
                <c:pt idx="10">
                  <c:v>5.8148101139257821E-3</c:v>
                </c:pt>
                <c:pt idx="11">
                  <c:v>5.4727443717807059E-3</c:v>
                </c:pt>
                <c:pt idx="12">
                  <c:v>5.1461598712127226E-3</c:v>
                </c:pt>
                <c:pt idx="13">
                  <c:v>4.8857486748085021E-3</c:v>
                </c:pt>
                <c:pt idx="14">
                  <c:v>4.6799687174572885E-3</c:v>
                </c:pt>
                <c:pt idx="15">
                  <c:v>4.4993900529326017E-3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F7-46DF-BEDF-EBCE412EF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770943"/>
        <c:axId val="1451773823"/>
      </c:scatterChart>
      <c:valAx>
        <c:axId val="1451770943"/>
        <c:scaling>
          <c:orientation val="minMax"/>
          <c:max val="31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73823"/>
        <c:crosses val="autoZero"/>
        <c:crossBetween val="midCat"/>
      </c:valAx>
      <c:valAx>
        <c:axId val="1451773823"/>
        <c:scaling>
          <c:orientation val="minMax"/>
          <c:max val="1.3500000000000003E-2"/>
          <c:min val="3.000000000000000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Flight (h:mm:ss)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]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77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of Flight Comparison for Two Systems (Batteries Only)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System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Time Calculator'!$N$30:$N$45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'Flight Time Calculator'!$R$30:$R$45</c:f>
              <c:numCache>
                <c:formatCode>[h]:mm:ss;@</c:formatCode>
                <c:ptCount val="16"/>
                <c:pt idx="0">
                  <c:v>8.5651671512357429E-3</c:v>
                </c:pt>
                <c:pt idx="1">
                  <c:v>7.9370655238536793E-3</c:v>
                </c:pt>
                <c:pt idx="2">
                  <c:v>7.3816123975217855E-3</c:v>
                </c:pt>
                <c:pt idx="3">
                  <c:v>6.8837216565988332E-3</c:v>
                </c:pt>
                <c:pt idx="4">
                  <c:v>6.4424577298846436E-3</c:v>
                </c:pt>
                <c:pt idx="5">
                  <c:v>6.0551215054816384E-3</c:v>
                </c:pt>
                <c:pt idx="6">
                  <c:v>5.7180276473385782E-3</c:v>
                </c:pt>
                <c:pt idx="7">
                  <c:v>5.4269618588737266E-3</c:v>
                </c:pt>
                <c:pt idx="8">
                  <c:v>5.1686102978969672E-3</c:v>
                </c:pt>
                <c:pt idx="9">
                  <c:v>4.9223316779468005E-3</c:v>
                </c:pt>
                <c:pt idx="10">
                  <c:v>4.6734555732298871E-3</c:v>
                </c:pt>
                <c:pt idx="11">
                  <c:v>4.4130536592898182E-3</c:v>
                </c:pt>
                <c:pt idx="12">
                  <c:v>4.1391362383069704E-3</c:v>
                </c:pt>
                <c:pt idx="13">
                  <c:v>3.8692928101678316E-3</c:v>
                </c:pt>
                <c:pt idx="14">
                  <c:v>3.623161445701704E-3</c:v>
                </c:pt>
                <c:pt idx="15">
                  <c:v>3.4115099920089781E-3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08-4418-AA35-35A1D4C251BB}"/>
            </c:ext>
          </c:extLst>
        </c:ser>
        <c:ser>
          <c:idx val="1"/>
          <c:order val="1"/>
          <c:tx>
            <c:v>System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Time Calculator'!$P$4:$P$19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'Flight Time Calculator'!$T$4:$T$19</c:f>
              <c:numCache>
                <c:formatCode>[h]:mm:ss;@</c:formatCode>
                <c:ptCount val="16"/>
                <c:pt idx="0">
                  <c:v>1.4211728313426779E-2</c:v>
                </c:pt>
                <c:pt idx="1">
                  <c:v>1.283086224957692E-2</c:v>
                </c:pt>
                <c:pt idx="2">
                  <c:v>1.1677606058928133E-2</c:v>
                </c:pt>
                <c:pt idx="3">
                  <c:v>1.0843125027763417E-2</c:v>
                </c:pt>
                <c:pt idx="4">
                  <c:v>1.0211242154198615E-2</c:v>
                </c:pt>
                <c:pt idx="5">
                  <c:v>9.6631541227546261E-3</c:v>
                </c:pt>
                <c:pt idx="6">
                  <c:v>9.1251705973779997E-3</c:v>
                </c:pt>
                <c:pt idx="7">
                  <c:v>8.5865077459270599E-3</c:v>
                </c:pt>
                <c:pt idx="8">
                  <c:v>8.0655982820981523E-3</c:v>
                </c:pt>
                <c:pt idx="9">
                  <c:v>7.5751000095777453E-3</c:v>
                </c:pt>
                <c:pt idx="10">
                  <c:v>7.1249566438525659E-3</c:v>
                </c:pt>
                <c:pt idx="11">
                  <c:v>6.7215274844605244E-3</c:v>
                </c:pt>
                <c:pt idx="12">
                  <c:v>6.3672216440593121E-3</c:v>
                </c:pt>
                <c:pt idx="13">
                  <c:v>6.0610000022740208E-3</c:v>
                </c:pt>
                <c:pt idx="14">
                  <c:v>5.7939728806888245E-3</c:v>
                </c:pt>
                <c:pt idx="15">
                  <c:v>5.5565460041583905E-3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08-4418-AA35-35A1D4C25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828543"/>
        <c:axId val="1451830463"/>
      </c:scatterChart>
      <c:valAx>
        <c:axId val="1451828543"/>
        <c:scaling>
          <c:orientation val="minMax"/>
          <c:max val="31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830463"/>
        <c:crosses val="autoZero"/>
        <c:crossBetween val="midCat"/>
      </c:valAx>
      <c:valAx>
        <c:axId val="1451830463"/>
        <c:scaling>
          <c:orientation val="minMax"/>
          <c:min val="3.000000000000000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Flight (h:mm:ss)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h]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828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1227032</xdr:colOff>
      <xdr:row>55</xdr:row>
      <xdr:rowOff>160211</xdr:rowOff>
    </xdr:from>
    <xdr:to>
      <xdr:col>14</xdr:col>
      <xdr:colOff>372197</xdr:colOff>
      <xdr:row>86</xdr:row>
      <xdr:rowOff>32226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566F3B-73C6-D8FF-2013-A669BF274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1216508</xdr:colOff>
      <xdr:row>87</xdr:row>
      <xdr:rowOff>9304</xdr:rowOff>
    </xdr:from>
    <xdr:to>
      <xdr:col>14</xdr:col>
      <xdr:colOff>361673</xdr:colOff>
      <xdr:row>117</xdr:row>
      <xdr:rowOff>62429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DDAB0C-E467-4024-886C-6D7F064539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305329</xdr:colOff>
      <xdr:row>94</xdr:row>
      <xdr:rowOff>141331</xdr:rowOff>
    </xdr:from>
    <xdr:to>
      <xdr:col>9</xdr:col>
      <xdr:colOff>957711</xdr:colOff>
      <xdr:row>125</xdr:row>
      <xdr:rowOff>15030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A2F85E5-3EB8-228A-D073-D390C762F4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517520</xdr:colOff>
      <xdr:row>55</xdr:row>
      <xdr:rowOff>166831</xdr:rowOff>
    </xdr:from>
    <xdr:to>
      <xdr:col>22</xdr:col>
      <xdr:colOff>115526</xdr:colOff>
      <xdr:row>85</xdr:row>
      <xdr:rowOff>113180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228E2EE-A6E6-4C6B-96AB-DD46B9ECD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52</xdr:row>
      <xdr:rowOff>146049</xdr:rowOff>
    </xdr:from>
    <xdr:to>
      <xdr:col>9</xdr:col>
      <xdr:colOff>839931</xdr:colOff>
      <xdr:row>93</xdr:row>
      <xdr:rowOff>5771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76DB32-6025-C141-C3D5-164B97D95C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533584</xdr:colOff>
      <xdr:row>87</xdr:row>
      <xdr:rowOff>18650</xdr:rowOff>
    </xdr:from>
    <xdr:to>
      <xdr:col>22</xdr:col>
      <xdr:colOff>131590</xdr:colOff>
      <xdr:row>116</xdr:row>
      <xdr:rowOff>149668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C8B940C-AE88-4E42-803D-94DBD9BCF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849826</xdr:colOff>
      <xdr:row>49</xdr:row>
      <xdr:rowOff>81890</xdr:rowOff>
    </xdr:from>
    <xdr:to>
      <xdr:col>12</xdr:col>
      <xdr:colOff>464621</xdr:colOff>
      <xdr:row>80</xdr:row>
      <xdr:rowOff>7916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EDBEA1-9381-BA84-4481-E17C36943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58613</xdr:colOff>
      <xdr:row>47</xdr:row>
      <xdr:rowOff>101634</xdr:rowOff>
    </xdr:from>
    <xdr:to>
      <xdr:col>28</xdr:col>
      <xdr:colOff>512884</xdr:colOff>
      <xdr:row>74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0E064C-085E-E7EA-C8A3-528C1CF040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28360</xdr:colOff>
      <xdr:row>3</xdr:row>
      <xdr:rowOff>522698</xdr:rowOff>
    </xdr:from>
    <xdr:to>
      <xdr:col>28</xdr:col>
      <xdr:colOff>10700</xdr:colOff>
      <xdr:row>20</xdr:row>
      <xdr:rowOff>32106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D14EF35-A6D2-04E0-EEC4-3BC5205911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1F082F-8375-47C9-A584-DE48FCE1A67C}" name="Table2" displayName="Table2" ref="A2:E7" totalsRowShown="0" headerRowDxfId="11">
  <autoFilter ref="A2:E7" xr:uid="{F41F082F-8375-47C9-A584-DE48FCE1A67C}"/>
  <tableColumns count="5">
    <tableColumn id="1" xr3:uid="{29B09A91-904E-4C6D-BA7C-547C3607ABA1}" name="Weight (lbs)"/>
    <tableColumn id="2" xr3:uid="{E5D18A33-B61F-4C39-823D-A2307132FD38}" name="Weight (kg)" dataDxfId="10">
      <calculatedColumnFormula>A3/2.205</calculatedColumnFormula>
    </tableColumn>
    <tableColumn id="3" xr3:uid="{3B679B37-BEE8-4B82-9CA6-05EC7C153B42}" name="Thrust Factor"/>
    <tableColumn id="4" xr3:uid="{C381DF72-FABA-4384-A482-A0CE3DB325D2}" name="T_req(N)" dataDxfId="9">
      <calculatedColumnFormula>B3*$C$3*9.807</calculatedColumnFormula>
    </tableColumn>
    <tableColumn id="5" xr3:uid="{73E8E8A1-EFE8-41EB-A8B5-ED5ED9778FA3}" name="P_req (W)" dataDxfId="8">
      <calculatedColumnFormula>ROUND(SQRT(D3^3 / (2*1.225*$D$11*6)), 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83A2DE-9C8E-4A25-8C99-0A0153375B20}" name="Table3" displayName="Table3" ref="A10:G13" totalsRowShown="0" headerRowDxfId="7">
  <autoFilter ref="A10:G13" xr:uid="{FB83A2DE-9C8E-4A25-8C99-0A0153375B20}"/>
  <tableColumns count="7">
    <tableColumn id="1" xr3:uid="{F539B606-8E77-4ED1-8C02-3FD61A0F46A1}" name="Propeller"/>
    <tableColumn id="2" xr3:uid="{1AF8FC35-A4C2-4E32-B758-49ED27AAD061}" name="Diameter (in)"/>
    <tableColumn id="3" xr3:uid="{5F17A08D-2B85-4055-B5FF-CF2337AB47E4}" name="Pitch (in)"/>
    <tableColumn id="4" xr3:uid="{12FE74D0-DCA4-4718-B35E-F2E334E0D884}" name="Swept Area (m^2)" dataDxfId="6">
      <calculatedColumnFormula>(B11/(2*39.37))^2 * PI()</calculatedColumnFormula>
    </tableColumn>
    <tableColumn id="5" xr3:uid="{7E85DD76-7103-4A27-AC01-647E2349E19F}" name="Voltage (V)"/>
    <tableColumn id="6" xr3:uid="{446DF832-6571-43D9-871E-CF1125B9391D}" name="Motor"/>
    <tableColumn id="7" xr3:uid="{BDE39CAA-B726-44D4-A494-93D457D7EEE3}" name="i_max (A)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BEF76-B94A-4371-9C8B-02034D81FCCF}">
  <sheetPr codeName="Sheet1"/>
  <dimension ref="A1:M39"/>
  <sheetViews>
    <sheetView topLeftCell="B1" zoomScale="102" workbookViewId="0">
      <selection activeCell="C4" sqref="C4"/>
    </sheetView>
  </sheetViews>
  <sheetFormatPr defaultRowHeight="14.25" x14ac:dyDescent="0.45"/>
  <cols>
    <col min="1" max="1" width="16" bestFit="1" customWidth="1"/>
    <col min="2" max="2" width="14.796875" bestFit="1" customWidth="1"/>
    <col min="3" max="3" width="16.46484375" bestFit="1" customWidth="1"/>
    <col min="4" max="4" width="17.06640625" bestFit="1" customWidth="1"/>
    <col min="5" max="5" width="15.06640625" bestFit="1" customWidth="1"/>
    <col min="6" max="6" width="30.265625" bestFit="1" customWidth="1"/>
    <col min="7" max="7" width="23.6640625" bestFit="1" customWidth="1"/>
    <col min="8" max="8" width="23.86328125" bestFit="1" customWidth="1"/>
    <col min="9" max="9" width="25.06640625" bestFit="1" customWidth="1"/>
    <col min="10" max="10" width="14.6640625" bestFit="1" customWidth="1"/>
    <col min="11" max="11" width="14.86328125" bestFit="1" customWidth="1"/>
    <col min="12" max="12" width="14.6640625" bestFit="1" customWidth="1"/>
    <col min="13" max="13" width="14.86328125" bestFit="1" customWidth="1"/>
    <col min="14" max="14" width="10.6640625" bestFit="1" customWidth="1"/>
    <col min="15" max="15" width="29.3984375" bestFit="1" customWidth="1"/>
  </cols>
  <sheetData>
    <row r="1" spans="1:13" ht="15" thickTop="1" thickBot="1" x14ac:dyDescent="0.5">
      <c r="A1" s="94" t="s">
        <v>24</v>
      </c>
      <c r="B1" s="94"/>
      <c r="C1" s="94"/>
      <c r="D1" s="94"/>
      <c r="E1" s="94"/>
      <c r="G1" s="95" t="s">
        <v>35</v>
      </c>
      <c r="H1" s="96"/>
      <c r="I1" s="96"/>
      <c r="J1" s="96"/>
      <c r="K1" s="96"/>
      <c r="L1" s="96"/>
      <c r="M1" s="97"/>
    </row>
    <row r="2" spans="1:13" ht="15" thickTop="1" thickBot="1" x14ac:dyDescent="0.5">
      <c r="A2" s="9" t="s">
        <v>18</v>
      </c>
      <c r="B2" s="9" t="s">
        <v>23</v>
      </c>
      <c r="C2" s="9" t="s">
        <v>0</v>
      </c>
      <c r="D2" s="9" t="s">
        <v>33</v>
      </c>
      <c r="E2" s="9" t="s">
        <v>1</v>
      </c>
      <c r="G2" s="6"/>
      <c r="H2" s="98" t="s">
        <v>36</v>
      </c>
      <c r="I2" s="99"/>
      <c r="J2" s="98" t="s">
        <v>37</v>
      </c>
      <c r="K2" s="99"/>
      <c r="L2" s="98" t="s">
        <v>39</v>
      </c>
      <c r="M2" s="99"/>
    </row>
    <row r="3" spans="1:13" ht="15" thickTop="1" thickBot="1" x14ac:dyDescent="0.5">
      <c r="A3">
        <v>15</v>
      </c>
      <c r="B3">
        <f>A3/2.205</f>
        <v>6.8027210884353737</v>
      </c>
      <c r="C3">
        <v>1</v>
      </c>
      <c r="D3">
        <f>B3*$C$3*9.807</f>
        <v>66.714285714285708</v>
      </c>
      <c r="E3">
        <f>ROUND(SQRT(D3^3 / (2*1.225*$D$11*6)), 2)</f>
        <v>394.61</v>
      </c>
      <c r="G3" s="6" t="s">
        <v>18</v>
      </c>
      <c r="H3" s="6" t="s">
        <v>15</v>
      </c>
      <c r="I3" s="6" t="s">
        <v>16</v>
      </c>
      <c r="J3" s="6" t="s">
        <v>15</v>
      </c>
      <c r="K3" s="6" t="s">
        <v>38</v>
      </c>
      <c r="L3" s="6" t="s">
        <v>15</v>
      </c>
      <c r="M3" s="6" t="s">
        <v>38</v>
      </c>
    </row>
    <row r="4" spans="1:13" ht="15" thickTop="1" thickBot="1" x14ac:dyDescent="0.5">
      <c r="A4">
        <v>20</v>
      </c>
      <c r="B4">
        <f>A4/2.205</f>
        <v>9.0702947845804989</v>
      </c>
      <c r="D4">
        <f>B4*$C$3*9.807</f>
        <v>88.952380952380949</v>
      </c>
      <c r="E4">
        <f t="shared" ref="E4:E7" si="0">ROUND(SQRT(D4^3 / (2*1.225*$D$11*6)), 2)</f>
        <v>607.54</v>
      </c>
      <c r="G4" s="5">
        <v>15</v>
      </c>
      <c r="H4" s="5">
        <f t="shared" ref="H4:I8" si="1">D3/6</f>
        <v>11.119047619047619</v>
      </c>
      <c r="I4" s="5">
        <f t="shared" si="1"/>
        <v>65.768333333333331</v>
      </c>
      <c r="J4" s="5">
        <f t="shared" ref="J4:K8" si="2">D3/4</f>
        <v>16.678571428571427</v>
      </c>
      <c r="K4" s="5">
        <f t="shared" si="2"/>
        <v>98.652500000000003</v>
      </c>
      <c r="L4" s="5">
        <f t="shared" ref="L4:M8" si="3">D3/8</f>
        <v>8.3392857142857135</v>
      </c>
      <c r="M4" s="5">
        <f t="shared" si="3"/>
        <v>49.326250000000002</v>
      </c>
    </row>
    <row r="5" spans="1:13" ht="15" thickTop="1" thickBot="1" x14ac:dyDescent="0.5">
      <c r="A5">
        <v>25</v>
      </c>
      <c r="B5">
        <f>A5/2.205</f>
        <v>11.337868480725623</v>
      </c>
      <c r="D5">
        <f>B5*$C$3*9.807</f>
        <v>111.19047619047619</v>
      </c>
      <c r="E5">
        <f t="shared" si="0"/>
        <v>849.07</v>
      </c>
      <c r="G5" s="5">
        <v>20</v>
      </c>
      <c r="H5" s="5">
        <f t="shared" si="1"/>
        <v>14.825396825396824</v>
      </c>
      <c r="I5" s="5">
        <f t="shared" si="1"/>
        <v>101.25666666666666</v>
      </c>
      <c r="J5" s="5">
        <f t="shared" si="2"/>
        <v>22.238095238095237</v>
      </c>
      <c r="K5" s="5">
        <f t="shared" si="2"/>
        <v>151.88499999999999</v>
      </c>
      <c r="L5" s="5">
        <f t="shared" si="3"/>
        <v>11.119047619047619</v>
      </c>
      <c r="M5" s="5">
        <f t="shared" si="3"/>
        <v>75.942499999999995</v>
      </c>
    </row>
    <row r="6" spans="1:13" ht="15" thickTop="1" thickBot="1" x14ac:dyDescent="0.5">
      <c r="A6">
        <v>30</v>
      </c>
      <c r="B6">
        <f>A6/2.205</f>
        <v>13.605442176870747</v>
      </c>
      <c r="D6">
        <f>B6*$C$3*9.807</f>
        <v>133.42857142857142</v>
      </c>
      <c r="E6">
        <f t="shared" si="0"/>
        <v>1116.1300000000001</v>
      </c>
      <c r="G6" s="5">
        <v>25</v>
      </c>
      <c r="H6" s="5">
        <f t="shared" si="1"/>
        <v>18.531746031746032</v>
      </c>
      <c r="I6" s="5">
        <f t="shared" si="1"/>
        <v>141.51166666666668</v>
      </c>
      <c r="J6" s="5">
        <f t="shared" si="2"/>
        <v>27.797619047619047</v>
      </c>
      <c r="K6" s="5">
        <f t="shared" si="2"/>
        <v>212.26750000000001</v>
      </c>
      <c r="L6" s="5">
        <f t="shared" si="3"/>
        <v>13.898809523809524</v>
      </c>
      <c r="M6" s="5">
        <f t="shared" si="3"/>
        <v>106.13375000000001</v>
      </c>
    </row>
    <row r="7" spans="1:13" ht="15" thickTop="1" thickBot="1" x14ac:dyDescent="0.5">
      <c r="A7">
        <v>35</v>
      </c>
      <c r="B7">
        <f>A7/2.205</f>
        <v>15.873015873015872</v>
      </c>
      <c r="D7">
        <f>B7*$C$3*9.807</f>
        <v>155.66666666666666</v>
      </c>
      <c r="E7">
        <f t="shared" si="0"/>
        <v>1406.49</v>
      </c>
      <c r="G7" s="5">
        <v>30</v>
      </c>
      <c r="H7" s="5">
        <f t="shared" si="1"/>
        <v>22.238095238095237</v>
      </c>
      <c r="I7" s="5">
        <f t="shared" si="1"/>
        <v>186.02166666666668</v>
      </c>
      <c r="J7" s="5">
        <f t="shared" si="2"/>
        <v>33.357142857142854</v>
      </c>
      <c r="K7" s="5">
        <f t="shared" si="2"/>
        <v>279.03250000000003</v>
      </c>
      <c r="L7" s="5">
        <f t="shared" si="3"/>
        <v>16.678571428571427</v>
      </c>
      <c r="M7" s="5">
        <f t="shared" si="3"/>
        <v>139.51625000000001</v>
      </c>
    </row>
    <row r="8" spans="1:13" ht="15" thickTop="1" thickBot="1" x14ac:dyDescent="0.5">
      <c r="G8" s="5">
        <v>35</v>
      </c>
      <c r="H8" s="5">
        <f t="shared" si="1"/>
        <v>25.944444444444443</v>
      </c>
      <c r="I8" s="5">
        <f t="shared" si="1"/>
        <v>234.41499999999999</v>
      </c>
      <c r="J8" s="5">
        <f t="shared" si="2"/>
        <v>38.916666666666664</v>
      </c>
      <c r="K8" s="5">
        <f t="shared" si="2"/>
        <v>351.6225</v>
      </c>
      <c r="L8" s="5">
        <f t="shared" si="3"/>
        <v>19.458333333333332</v>
      </c>
      <c r="M8" s="5">
        <f t="shared" si="3"/>
        <v>175.81125</v>
      </c>
    </row>
    <row r="9" spans="1:13" ht="14.65" thickTop="1" x14ac:dyDescent="0.45">
      <c r="A9" s="94" t="s">
        <v>29</v>
      </c>
      <c r="B9" s="94"/>
      <c r="C9" s="94"/>
      <c r="D9" s="94"/>
      <c r="E9" s="94"/>
      <c r="F9" s="94"/>
      <c r="G9" s="94"/>
      <c r="H9" s="3"/>
      <c r="I9" s="3"/>
      <c r="J9" s="3"/>
    </row>
    <row r="10" spans="1:13" x14ac:dyDescent="0.45">
      <c r="A10" s="10" t="s">
        <v>25</v>
      </c>
      <c r="B10" s="10" t="s">
        <v>2</v>
      </c>
      <c r="C10" s="10" t="s">
        <v>3</v>
      </c>
      <c r="D10" s="10" t="s">
        <v>4</v>
      </c>
      <c r="E10" s="10" t="s">
        <v>8</v>
      </c>
      <c r="F10" s="10" t="s">
        <v>30</v>
      </c>
      <c r="G10" s="10" t="s">
        <v>5</v>
      </c>
    </row>
    <row r="11" spans="1:13" x14ac:dyDescent="0.45">
      <c r="A11" t="s">
        <v>26</v>
      </c>
      <c r="B11">
        <v>16</v>
      </c>
      <c r="C11">
        <v>5.4</v>
      </c>
      <c r="D11">
        <f t="shared" ref="D11:D13" si="4">(B11/(2*39.37))^2 * PI()</f>
        <v>0.12971763351897467</v>
      </c>
      <c r="E11">
        <v>22.2</v>
      </c>
      <c r="F11" t="s">
        <v>31</v>
      </c>
      <c r="G11">
        <v>44</v>
      </c>
    </row>
    <row r="12" spans="1:13" x14ac:dyDescent="0.45">
      <c r="A12" t="s">
        <v>27</v>
      </c>
      <c r="B12">
        <v>20</v>
      </c>
      <c r="C12">
        <v>6</v>
      </c>
      <c r="D12">
        <f t="shared" si="4"/>
        <v>0.20268380237339789</v>
      </c>
      <c r="E12">
        <v>24</v>
      </c>
      <c r="F12" t="s">
        <v>47</v>
      </c>
      <c r="G12" t="s">
        <v>46</v>
      </c>
    </row>
    <row r="13" spans="1:13" x14ac:dyDescent="0.45">
      <c r="A13" t="s">
        <v>28</v>
      </c>
      <c r="B13">
        <v>18</v>
      </c>
      <c r="C13">
        <v>6.1</v>
      </c>
      <c r="D13">
        <f t="shared" si="4"/>
        <v>0.16417387992245228</v>
      </c>
      <c r="E13">
        <v>25</v>
      </c>
      <c r="F13" t="s">
        <v>47</v>
      </c>
      <c r="G13" t="s">
        <v>46</v>
      </c>
    </row>
    <row r="14" spans="1:13" ht="14.65" thickBot="1" x14ac:dyDescent="0.5"/>
    <row r="15" spans="1:13" ht="15" thickTop="1" thickBot="1" x14ac:dyDescent="0.5">
      <c r="A15" s="4"/>
      <c r="B15" s="93" t="s">
        <v>51</v>
      </c>
      <c r="C15" s="93"/>
      <c r="D15" s="93"/>
      <c r="E15" s="93"/>
      <c r="F15" s="93"/>
    </row>
    <row r="16" spans="1:13" ht="15" thickTop="1" thickBot="1" x14ac:dyDescent="0.5">
      <c r="A16" s="5"/>
      <c r="B16" s="5"/>
      <c r="C16" s="5"/>
      <c r="D16" s="92" t="s">
        <v>16</v>
      </c>
      <c r="E16" s="92"/>
      <c r="F16" s="92"/>
      <c r="H16" s="91"/>
      <c r="I16" s="91"/>
    </row>
    <row r="17" spans="1:6" ht="15" thickTop="1" thickBot="1" x14ac:dyDescent="0.5">
      <c r="A17" s="5" t="s">
        <v>0</v>
      </c>
      <c r="B17" s="5" t="s">
        <v>15</v>
      </c>
      <c r="C17" s="5" t="s">
        <v>53</v>
      </c>
      <c r="D17" s="5" t="s">
        <v>48</v>
      </c>
      <c r="E17" s="5" t="s">
        <v>49</v>
      </c>
      <c r="F17" s="5" t="s">
        <v>50</v>
      </c>
    </row>
    <row r="18" spans="1:6" ht="15" thickTop="1" thickBot="1" x14ac:dyDescent="0.5">
      <c r="A18" s="5">
        <v>0</v>
      </c>
      <c r="B18" s="5">
        <f>($B$5*9.807*A18)/6</f>
        <v>0</v>
      </c>
      <c r="C18" s="5">
        <f>B18/4.448</f>
        <v>0</v>
      </c>
      <c r="D18" s="5">
        <f>ROUND(SQRT(B18^3 / (2*1.225*$D$11)), 2)</f>
        <v>0</v>
      </c>
      <c r="E18" s="5">
        <f>ROUND(SQRT(B18^3 / (2*1.225*$D$12)), 2)</f>
        <v>0</v>
      </c>
      <c r="F18" s="5">
        <f>ROUND(SQRT(B18^3 / (2*1.225*$D$13)), 2)</f>
        <v>0</v>
      </c>
    </row>
    <row r="19" spans="1:6" ht="15" thickTop="1" thickBot="1" x14ac:dyDescent="0.5">
      <c r="A19" s="5">
        <v>0.1</v>
      </c>
      <c r="B19" s="5">
        <f t="shared" ref="B19:B38" si="5">($B$5*9.807*A19)/6</f>
        <v>1.8531746031746035</v>
      </c>
      <c r="C19" s="5">
        <f t="shared" ref="C19:C38" si="6">B19/4.448</f>
        <v>0.41663098092954209</v>
      </c>
      <c r="D19" s="5">
        <f t="shared" ref="D19:D38" si="7">ROUND(SQRT(B19^3 / (2*1.225*$D$11)), 2)</f>
        <v>4.47</v>
      </c>
      <c r="E19" s="5">
        <f t="shared" ref="E19:E38" si="8">ROUND(SQRT(B19^3 / (2*1.225*$D$12)), 2)</f>
        <v>3.58</v>
      </c>
      <c r="F19" s="5">
        <f t="shared" ref="F19:F38" si="9">ROUND(SQRT(B19^3 / (2*1.225*$D$13)), 2)</f>
        <v>3.98</v>
      </c>
    </row>
    <row r="20" spans="1:6" ht="15" thickTop="1" thickBot="1" x14ac:dyDescent="0.5">
      <c r="A20" s="5">
        <v>0.2</v>
      </c>
      <c r="B20" s="5">
        <f t="shared" si="5"/>
        <v>3.7063492063492069</v>
      </c>
      <c r="C20" s="5">
        <f t="shared" si="6"/>
        <v>0.83326196185908419</v>
      </c>
      <c r="D20" s="5">
        <f t="shared" si="7"/>
        <v>12.66</v>
      </c>
      <c r="E20" s="5">
        <f t="shared" si="8"/>
        <v>10.130000000000001</v>
      </c>
      <c r="F20" s="5">
        <f t="shared" si="9"/>
        <v>11.25</v>
      </c>
    </row>
    <row r="21" spans="1:6" ht="15" thickTop="1" thickBot="1" x14ac:dyDescent="0.5">
      <c r="A21" s="5">
        <v>0.3</v>
      </c>
      <c r="B21" s="5">
        <f t="shared" si="5"/>
        <v>5.5595238095238093</v>
      </c>
      <c r="C21" s="5">
        <f t="shared" si="6"/>
        <v>1.2498929427886261</v>
      </c>
      <c r="D21" s="5">
        <f t="shared" si="7"/>
        <v>23.25</v>
      </c>
      <c r="E21" s="5">
        <f t="shared" si="8"/>
        <v>18.600000000000001</v>
      </c>
      <c r="F21" s="5">
        <f t="shared" si="9"/>
        <v>20.67</v>
      </c>
    </row>
    <row r="22" spans="1:6" ht="15" thickTop="1" thickBot="1" x14ac:dyDescent="0.5">
      <c r="A22" s="5">
        <v>0.4</v>
      </c>
      <c r="B22" s="5">
        <f t="shared" si="5"/>
        <v>7.4126984126984139</v>
      </c>
      <c r="C22" s="5">
        <f t="shared" si="6"/>
        <v>1.6665239237181684</v>
      </c>
      <c r="D22" s="5">
        <f t="shared" si="7"/>
        <v>35.799999999999997</v>
      </c>
      <c r="E22" s="5">
        <f t="shared" si="8"/>
        <v>28.64</v>
      </c>
      <c r="F22" s="5">
        <f t="shared" si="9"/>
        <v>31.82</v>
      </c>
    </row>
    <row r="23" spans="1:6" ht="15" thickTop="1" thickBot="1" x14ac:dyDescent="0.5">
      <c r="A23" s="5">
        <v>0.5</v>
      </c>
      <c r="B23" s="5">
        <f t="shared" si="5"/>
        <v>9.2658730158730158</v>
      </c>
      <c r="C23" s="5">
        <f t="shared" si="6"/>
        <v>2.08315490464771</v>
      </c>
      <c r="D23" s="5">
        <f t="shared" si="7"/>
        <v>50.03</v>
      </c>
      <c r="E23" s="5">
        <f t="shared" si="8"/>
        <v>40.03</v>
      </c>
      <c r="F23" s="5">
        <f t="shared" si="9"/>
        <v>44.47</v>
      </c>
    </row>
    <row r="24" spans="1:6" ht="15" thickTop="1" thickBot="1" x14ac:dyDescent="0.5">
      <c r="A24" s="5">
        <v>0.6</v>
      </c>
      <c r="B24" s="5">
        <f t="shared" si="5"/>
        <v>11.119047619047619</v>
      </c>
      <c r="C24" s="5">
        <f t="shared" si="6"/>
        <v>2.4997858855772521</v>
      </c>
      <c r="D24" s="5">
        <f t="shared" si="7"/>
        <v>65.77</v>
      </c>
      <c r="E24" s="5">
        <f t="shared" si="8"/>
        <v>52.61</v>
      </c>
      <c r="F24" s="5">
        <f t="shared" si="9"/>
        <v>58.46</v>
      </c>
    </row>
    <row r="25" spans="1:6" ht="15" thickTop="1" thickBot="1" x14ac:dyDescent="0.5">
      <c r="A25" s="5">
        <v>0.7</v>
      </c>
      <c r="B25" s="5">
        <f t="shared" si="5"/>
        <v>12.972222222222221</v>
      </c>
      <c r="C25" s="5">
        <f t="shared" si="6"/>
        <v>2.9164168665067942</v>
      </c>
      <c r="D25" s="5">
        <f t="shared" si="7"/>
        <v>82.88</v>
      </c>
      <c r="E25" s="5">
        <f t="shared" si="8"/>
        <v>66.3</v>
      </c>
      <c r="F25" s="5">
        <f t="shared" si="9"/>
        <v>73.67</v>
      </c>
    </row>
    <row r="26" spans="1:6" ht="15" thickTop="1" thickBot="1" x14ac:dyDescent="0.5">
      <c r="A26" s="5">
        <v>0.8</v>
      </c>
      <c r="B26" s="5">
        <f t="shared" si="5"/>
        <v>14.825396825396828</v>
      </c>
      <c r="C26" s="5">
        <f t="shared" si="6"/>
        <v>3.3330478474363368</v>
      </c>
      <c r="D26" s="5">
        <f t="shared" si="7"/>
        <v>101.26</v>
      </c>
      <c r="E26" s="5">
        <f t="shared" si="8"/>
        <v>81.010000000000005</v>
      </c>
      <c r="F26" s="5">
        <f t="shared" si="9"/>
        <v>90.01</v>
      </c>
    </row>
    <row r="27" spans="1:6" ht="15" thickTop="1" thickBot="1" x14ac:dyDescent="0.5">
      <c r="A27" s="5">
        <v>0.9</v>
      </c>
      <c r="B27" s="5">
        <f t="shared" si="5"/>
        <v>16.678571428571427</v>
      </c>
      <c r="C27" s="5">
        <f t="shared" si="6"/>
        <v>3.749678828365878</v>
      </c>
      <c r="D27" s="5">
        <f t="shared" si="7"/>
        <v>120.82</v>
      </c>
      <c r="E27" s="5">
        <f t="shared" si="8"/>
        <v>96.66</v>
      </c>
      <c r="F27" s="5">
        <f t="shared" si="9"/>
        <v>107.4</v>
      </c>
    </row>
    <row r="28" spans="1:6" ht="15" thickTop="1" thickBot="1" x14ac:dyDescent="0.5">
      <c r="A28" s="5">
        <v>1</v>
      </c>
      <c r="B28" s="5">
        <f t="shared" si="5"/>
        <v>18.531746031746032</v>
      </c>
      <c r="C28" s="5">
        <f t="shared" si="6"/>
        <v>4.1663098092954201</v>
      </c>
      <c r="D28" s="5">
        <f t="shared" si="7"/>
        <v>141.51</v>
      </c>
      <c r="E28" s="5">
        <f t="shared" si="8"/>
        <v>113.21</v>
      </c>
      <c r="F28" s="5">
        <f t="shared" si="9"/>
        <v>125.79</v>
      </c>
    </row>
    <row r="29" spans="1:6" ht="15" thickTop="1" thickBot="1" x14ac:dyDescent="0.5">
      <c r="A29" s="5">
        <v>1.1000000000000001</v>
      </c>
      <c r="B29" s="5">
        <f t="shared" si="5"/>
        <v>20.384920634920636</v>
      </c>
      <c r="C29" s="5">
        <f t="shared" si="6"/>
        <v>4.5829407902249626</v>
      </c>
      <c r="D29" s="5">
        <f t="shared" si="7"/>
        <v>163.26</v>
      </c>
      <c r="E29" s="5">
        <f t="shared" si="8"/>
        <v>130.61000000000001</v>
      </c>
      <c r="F29" s="5">
        <f t="shared" si="9"/>
        <v>145.12</v>
      </c>
    </row>
    <row r="30" spans="1:6" ht="15" thickTop="1" thickBot="1" x14ac:dyDescent="0.5">
      <c r="A30" s="5">
        <v>1.2</v>
      </c>
      <c r="B30" s="5">
        <f t="shared" si="5"/>
        <v>22.238095238095237</v>
      </c>
      <c r="C30" s="5">
        <f t="shared" si="6"/>
        <v>4.9995717711545042</v>
      </c>
      <c r="D30" s="5">
        <f t="shared" si="7"/>
        <v>186.02</v>
      </c>
      <c r="E30" s="5">
        <f t="shared" si="8"/>
        <v>148.82</v>
      </c>
      <c r="F30" s="5">
        <f t="shared" si="9"/>
        <v>165.35</v>
      </c>
    </row>
    <row r="31" spans="1:6" ht="15" thickTop="1" thickBot="1" x14ac:dyDescent="0.5">
      <c r="A31" s="5">
        <v>1.3</v>
      </c>
      <c r="B31" s="5">
        <f t="shared" si="5"/>
        <v>24.091269841269845</v>
      </c>
      <c r="C31" s="5">
        <f t="shared" si="6"/>
        <v>5.4162027520840477</v>
      </c>
      <c r="D31" s="5">
        <f t="shared" si="7"/>
        <v>209.75</v>
      </c>
      <c r="E31" s="5">
        <f t="shared" si="8"/>
        <v>167.8</v>
      </c>
      <c r="F31" s="5">
        <f t="shared" si="9"/>
        <v>186.45</v>
      </c>
    </row>
    <row r="32" spans="1:6" ht="15" thickTop="1" thickBot="1" x14ac:dyDescent="0.5">
      <c r="A32" s="5">
        <v>1.4</v>
      </c>
      <c r="B32" s="5">
        <f t="shared" si="5"/>
        <v>25.944444444444443</v>
      </c>
      <c r="C32" s="5">
        <f t="shared" si="6"/>
        <v>5.8328337330135884</v>
      </c>
      <c r="D32" s="5">
        <f t="shared" si="7"/>
        <v>234.41</v>
      </c>
      <c r="E32" s="5">
        <f t="shared" si="8"/>
        <v>187.53</v>
      </c>
      <c r="F32" s="5">
        <f t="shared" si="9"/>
        <v>208.37</v>
      </c>
    </row>
    <row r="33" spans="1:6" ht="15" thickTop="1" thickBot="1" x14ac:dyDescent="0.5">
      <c r="A33" s="5">
        <v>1.5</v>
      </c>
      <c r="B33" s="5">
        <f t="shared" si="5"/>
        <v>27.797619047619047</v>
      </c>
      <c r="C33" s="5">
        <f t="shared" si="6"/>
        <v>6.249464713943131</v>
      </c>
      <c r="D33" s="5">
        <f t="shared" si="7"/>
        <v>259.97000000000003</v>
      </c>
      <c r="E33" s="5">
        <f t="shared" si="8"/>
        <v>207.98</v>
      </c>
      <c r="F33" s="5">
        <f t="shared" si="9"/>
        <v>231.09</v>
      </c>
    </row>
    <row r="34" spans="1:6" ht="15" thickTop="1" thickBot="1" x14ac:dyDescent="0.5">
      <c r="A34" s="5">
        <v>1.6</v>
      </c>
      <c r="B34" s="5">
        <f t="shared" si="5"/>
        <v>29.650793650793656</v>
      </c>
      <c r="C34" s="5">
        <f t="shared" si="6"/>
        <v>6.6660956948726735</v>
      </c>
      <c r="D34" s="5">
        <f t="shared" si="7"/>
        <v>286.39999999999998</v>
      </c>
      <c r="E34" s="5">
        <f t="shared" si="8"/>
        <v>229.12</v>
      </c>
      <c r="F34" s="5">
        <f t="shared" si="9"/>
        <v>254.58</v>
      </c>
    </row>
    <row r="35" spans="1:6" ht="15" thickTop="1" thickBot="1" x14ac:dyDescent="0.5">
      <c r="A35" s="5">
        <v>1.7</v>
      </c>
      <c r="B35" s="5">
        <f t="shared" si="5"/>
        <v>31.503968253968253</v>
      </c>
      <c r="C35" s="5">
        <f t="shared" si="6"/>
        <v>7.0827266758022143</v>
      </c>
      <c r="D35" s="5">
        <f t="shared" si="7"/>
        <v>313.66000000000003</v>
      </c>
      <c r="E35" s="5">
        <f t="shared" si="8"/>
        <v>250.93</v>
      </c>
      <c r="F35" s="5">
        <f t="shared" si="9"/>
        <v>278.81</v>
      </c>
    </row>
    <row r="36" spans="1:6" ht="15" thickTop="1" thickBot="1" x14ac:dyDescent="0.5">
      <c r="A36" s="5">
        <v>1.8</v>
      </c>
      <c r="B36" s="5">
        <f t="shared" si="5"/>
        <v>33.357142857142854</v>
      </c>
      <c r="C36" s="5">
        <f t="shared" si="6"/>
        <v>7.4993576567317559</v>
      </c>
      <c r="D36" s="5">
        <f t="shared" si="7"/>
        <v>341.74</v>
      </c>
      <c r="E36" s="5">
        <f t="shared" si="8"/>
        <v>273.39999999999998</v>
      </c>
      <c r="F36" s="5">
        <f t="shared" si="9"/>
        <v>303.77</v>
      </c>
    </row>
    <row r="37" spans="1:6" ht="15" thickTop="1" thickBot="1" x14ac:dyDescent="0.5">
      <c r="A37" s="5">
        <v>1.9</v>
      </c>
      <c r="B37" s="5">
        <f t="shared" si="5"/>
        <v>35.210317460317462</v>
      </c>
      <c r="C37" s="5">
        <f t="shared" si="6"/>
        <v>7.9159886376612993</v>
      </c>
      <c r="D37" s="5">
        <f t="shared" si="7"/>
        <v>370.61</v>
      </c>
      <c r="E37" s="5">
        <f t="shared" si="8"/>
        <v>296.49</v>
      </c>
      <c r="F37" s="5">
        <f t="shared" si="9"/>
        <v>329.44</v>
      </c>
    </row>
    <row r="38" spans="1:6" ht="15" thickTop="1" thickBot="1" x14ac:dyDescent="0.5">
      <c r="A38" s="5">
        <v>2</v>
      </c>
      <c r="B38" s="5">
        <f t="shared" si="5"/>
        <v>37.063492063492063</v>
      </c>
      <c r="C38" s="5">
        <f t="shared" si="6"/>
        <v>8.3326196185908401</v>
      </c>
      <c r="D38" s="5">
        <f t="shared" si="7"/>
        <v>400.26</v>
      </c>
      <c r="E38" s="5">
        <f t="shared" si="8"/>
        <v>320.2</v>
      </c>
      <c r="F38" s="5">
        <f t="shared" si="9"/>
        <v>355.78</v>
      </c>
    </row>
    <row r="39" spans="1:6" ht="14.65" thickTop="1" x14ac:dyDescent="0.45"/>
  </sheetData>
  <mergeCells count="9">
    <mergeCell ref="H16:I16"/>
    <mergeCell ref="D16:F16"/>
    <mergeCell ref="B15:F15"/>
    <mergeCell ref="A9:G9"/>
    <mergeCell ref="A1:E1"/>
    <mergeCell ref="G1:M1"/>
    <mergeCell ref="H2:I2"/>
    <mergeCell ref="J2:K2"/>
    <mergeCell ref="L2:M2"/>
  </mergeCells>
  <phoneticPr fontId="2" type="noConversion"/>
  <pageMargins left="0.7" right="0.7" top="0.75" bottom="0.75" header="0.3" footer="0.3"/>
  <headerFooter>
    <oddFooter>&amp;C_x000D_&amp;1#&amp;"Calibri"&amp;14&amp;K000000 Public Content</oddFooter>
  </headerFooter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8BDE-793D-4821-8A2E-115F895AC18E}">
  <sheetPr codeName="Sheet2"/>
  <dimension ref="A1:S95"/>
  <sheetViews>
    <sheetView tabSelected="1" topLeftCell="A2" zoomScale="102" zoomScaleNormal="85" workbookViewId="0">
      <selection activeCell="H30" sqref="H30:Q30"/>
    </sheetView>
  </sheetViews>
  <sheetFormatPr defaultRowHeight="14.25" x14ac:dyDescent="0.45"/>
  <cols>
    <col min="1" max="1" width="10.86328125" bestFit="1" customWidth="1"/>
    <col min="2" max="2" width="11.86328125" bestFit="1" customWidth="1"/>
    <col min="3" max="3" width="18.86328125" bestFit="1" customWidth="1"/>
    <col min="4" max="4" width="11.86328125" bestFit="1" customWidth="1"/>
    <col min="5" max="6" width="11.86328125" customWidth="1"/>
    <col min="7" max="7" width="14.59765625" bestFit="1" customWidth="1"/>
    <col min="8" max="8" width="11.86328125" bestFit="1" customWidth="1"/>
    <col min="9" max="9" width="12.46484375" bestFit="1" customWidth="1"/>
    <col min="10" max="10" width="17.19921875" bestFit="1" customWidth="1"/>
    <col min="11" max="11" width="31" customWidth="1"/>
    <col min="12" max="12" width="29.53125" customWidth="1"/>
    <col min="13" max="13" width="24.3984375" bestFit="1" customWidth="1"/>
    <col min="14" max="14" width="29.3984375" bestFit="1" customWidth="1"/>
    <col min="15" max="16" width="24.3984375" bestFit="1" customWidth="1"/>
    <col min="17" max="17" width="13.796875" bestFit="1" customWidth="1"/>
  </cols>
  <sheetData>
    <row r="1" spans="1:13" ht="15" thickTop="1" thickBot="1" x14ac:dyDescent="0.5">
      <c r="A1" s="4" t="s">
        <v>81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3" ht="15" thickTop="1" thickBot="1" x14ac:dyDescent="0.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3" ht="15" thickTop="1" thickBot="1" x14ac:dyDescent="0.5">
      <c r="A3" s="5" t="s">
        <v>6</v>
      </c>
      <c r="B3" s="5" t="s">
        <v>41</v>
      </c>
      <c r="C3" s="5" t="s">
        <v>42</v>
      </c>
      <c r="D3" s="5" t="s">
        <v>7</v>
      </c>
      <c r="E3" s="5" t="s">
        <v>43</v>
      </c>
      <c r="F3" s="5" t="s">
        <v>8</v>
      </c>
      <c r="G3" s="5" t="s">
        <v>9</v>
      </c>
      <c r="H3" s="5" t="s">
        <v>10</v>
      </c>
      <c r="I3" s="5" t="s">
        <v>11</v>
      </c>
      <c r="J3" s="5" t="s">
        <v>12</v>
      </c>
      <c r="K3" s="5" t="s">
        <v>13</v>
      </c>
      <c r="L3" s="5" t="s">
        <v>14</v>
      </c>
      <c r="M3" s="8" t="s">
        <v>52</v>
      </c>
    </row>
    <row r="4" spans="1:13" ht="15" thickTop="1" thickBot="1" x14ac:dyDescent="0.5">
      <c r="A4" s="5">
        <v>0.30105279999953</v>
      </c>
      <c r="B4" s="5">
        <v>1000</v>
      </c>
      <c r="C4" s="5">
        <v>0</v>
      </c>
      <c r="D4" s="5">
        <v>1.8393611390309599E-4</v>
      </c>
      <c r="E4" s="5">
        <v>1.8229320470695E-4</v>
      </c>
      <c r="F4" s="5">
        <v>23.804227406022999</v>
      </c>
      <c r="G4" s="5">
        <v>-3.1908880253135998E-4</v>
      </c>
      <c r="H4" s="5">
        <v>7.5956624181720599E-3</v>
      </c>
      <c r="I4" s="5">
        <v>0</v>
      </c>
      <c r="J4" s="5">
        <v>0</v>
      </c>
      <c r="K4" s="5"/>
      <c r="L4" s="5"/>
      <c r="M4">
        <f>D4*2.20462</f>
        <v>4.0550923543304342E-4</v>
      </c>
    </row>
    <row r="5" spans="1:13" ht="15" thickTop="1" thickBot="1" x14ac:dyDescent="0.5">
      <c r="A5" s="5">
        <v>4.9520631999994</v>
      </c>
      <c r="B5" s="5">
        <v>1100</v>
      </c>
      <c r="C5" s="5">
        <v>1756.99999999997</v>
      </c>
      <c r="D5" s="5">
        <v>0.16636602039742401</v>
      </c>
      <c r="E5" s="5">
        <v>3.8331446618832997E-2</v>
      </c>
      <c r="F5" s="5">
        <v>23.789514131907001</v>
      </c>
      <c r="G5" s="5">
        <v>0.64105877873189998</v>
      </c>
      <c r="H5" s="5">
        <v>15.2504768760255</v>
      </c>
      <c r="I5" s="5">
        <v>7.0527028987094296</v>
      </c>
      <c r="J5" s="5">
        <v>46.245785991102998</v>
      </c>
      <c r="K5" s="5">
        <v>23.588973303818999</v>
      </c>
      <c r="L5" s="5">
        <v>10.9089061115825</v>
      </c>
      <c r="M5">
        <f t="shared" ref="M5:M28" si="0">D5*2.20462</f>
        <v>0.36677385588856892</v>
      </c>
    </row>
    <row r="6" spans="1:13" ht="15" thickTop="1" thickBot="1" x14ac:dyDescent="0.5">
      <c r="A6" s="5">
        <v>9.1019905999994997</v>
      </c>
      <c r="B6" s="5">
        <v>1150</v>
      </c>
      <c r="C6" s="5">
        <v>2268.00000000001</v>
      </c>
      <c r="D6" s="5">
        <v>0.30019950157423703</v>
      </c>
      <c r="E6" s="5">
        <v>6.7677202975528997E-2</v>
      </c>
      <c r="F6" s="5">
        <v>23.775350871857</v>
      </c>
      <c r="G6" s="5">
        <v>1.1672000107958</v>
      </c>
      <c r="H6" s="5">
        <v>27.750589794305402</v>
      </c>
      <c r="I6" s="5">
        <v>16.073633798467199</v>
      </c>
      <c r="J6" s="5">
        <v>57.921773618539802</v>
      </c>
      <c r="K6" s="5">
        <v>18.676517415922699</v>
      </c>
      <c r="L6" s="5">
        <v>10.817770137477901</v>
      </c>
      <c r="M6">
        <f t="shared" si="0"/>
        <v>0.66182582516059441</v>
      </c>
    </row>
    <row r="7" spans="1:13" ht="15" thickTop="1" thickBot="1" x14ac:dyDescent="0.5">
      <c r="A7" s="5">
        <v>13.252131399999</v>
      </c>
      <c r="B7" s="5">
        <v>1200</v>
      </c>
      <c r="C7" s="5">
        <v>2708.00000000001</v>
      </c>
      <c r="D7" s="5">
        <v>0.44740656152783997</v>
      </c>
      <c r="E7" s="5">
        <v>9.9237053320913995E-2</v>
      </c>
      <c r="F7" s="5">
        <v>23.755588862399001</v>
      </c>
      <c r="G7" s="5">
        <v>1.8742496819639001</v>
      </c>
      <c r="H7" s="5">
        <v>44.523904870216498</v>
      </c>
      <c r="I7" s="5">
        <v>28.141752430299999</v>
      </c>
      <c r="J7" s="5">
        <v>63.205939623514297</v>
      </c>
      <c r="K7" s="5">
        <v>15.898319148246101</v>
      </c>
      <c r="L7" s="5">
        <v>10.048682001994001</v>
      </c>
      <c r="M7">
        <f t="shared" si="0"/>
        <v>0.98636145367550643</v>
      </c>
    </row>
    <row r="8" spans="1:13" ht="15" thickTop="1" thickBot="1" x14ac:dyDescent="0.5">
      <c r="A8" s="5">
        <v>17.401643799999</v>
      </c>
      <c r="B8" s="5">
        <v>1250</v>
      </c>
      <c r="C8" s="5">
        <v>3147</v>
      </c>
      <c r="D8" s="5">
        <v>0.62907676572392202</v>
      </c>
      <c r="E8" s="5">
        <v>0.12767764477769999</v>
      </c>
      <c r="F8" s="5">
        <v>23.731873737040999</v>
      </c>
      <c r="G8" s="5">
        <v>2.681740926736</v>
      </c>
      <c r="H8" s="5">
        <v>63.642737068754002</v>
      </c>
      <c r="I8" s="5">
        <v>42.076559725347202</v>
      </c>
      <c r="J8" s="5">
        <v>66.113686593792096</v>
      </c>
      <c r="K8" s="5">
        <v>14.9507652201175</v>
      </c>
      <c r="L8" s="5">
        <v>9.8845020610022196</v>
      </c>
      <c r="M8">
        <f t="shared" si="0"/>
        <v>1.3868752192502729</v>
      </c>
    </row>
    <row r="9" spans="1:13" ht="15" thickTop="1" thickBot="1" x14ac:dyDescent="0.5">
      <c r="A9" s="5">
        <v>21.552031399998999</v>
      </c>
      <c r="B9" s="5">
        <v>1300</v>
      </c>
      <c r="C9" s="5">
        <v>3573.99999999996</v>
      </c>
      <c r="D9" s="5">
        <v>0.80328680809610797</v>
      </c>
      <c r="E9" s="5">
        <v>0.16361276307104999</v>
      </c>
      <c r="F9" s="5">
        <v>23.700922188675001</v>
      </c>
      <c r="G9" s="5">
        <v>3.7169521553684</v>
      </c>
      <c r="H9" s="5">
        <v>88.095193813414198</v>
      </c>
      <c r="I9" s="5">
        <v>61.235087839139297</v>
      </c>
      <c r="J9" s="5">
        <v>69.5101346491561</v>
      </c>
      <c r="K9" s="5">
        <v>13.118080441172699</v>
      </c>
      <c r="L9" s="5">
        <v>9.1183953780437808</v>
      </c>
      <c r="M9">
        <f t="shared" si="0"/>
        <v>1.7709421628648414</v>
      </c>
    </row>
    <row r="10" spans="1:13" ht="15" thickTop="1" thickBot="1" x14ac:dyDescent="0.5">
      <c r="A10" s="5">
        <v>25.678092999998999</v>
      </c>
      <c r="B10" s="5">
        <v>1350</v>
      </c>
      <c r="C10" s="5">
        <v>3974.00000000002</v>
      </c>
      <c r="D10" s="5">
        <v>0.95809503989549905</v>
      </c>
      <c r="E10" s="5">
        <v>0.20157129068203</v>
      </c>
      <c r="F10" s="5">
        <v>23.664004858778998</v>
      </c>
      <c r="G10" s="5">
        <v>4.8953884727911996</v>
      </c>
      <c r="H10" s="5">
        <v>115.844496605741</v>
      </c>
      <c r="I10" s="5">
        <v>83.885163896320407</v>
      </c>
      <c r="J10" s="5">
        <v>72.411867938629996</v>
      </c>
      <c r="K10" s="5">
        <v>11.421507634886099</v>
      </c>
      <c r="L10" s="5">
        <v>8.2705270251742995</v>
      </c>
      <c r="M10">
        <f t="shared" si="0"/>
        <v>2.1122354868544151</v>
      </c>
    </row>
    <row r="11" spans="1:13" ht="15" thickTop="1" thickBot="1" x14ac:dyDescent="0.5">
      <c r="A11" s="5">
        <v>29.802045599999001</v>
      </c>
      <c r="B11" s="5">
        <v>1400</v>
      </c>
      <c r="C11" s="5">
        <v>4479.00000000003</v>
      </c>
      <c r="D11" s="5">
        <v>1.23922437451117</v>
      </c>
      <c r="E11" s="5">
        <v>0.25195792460222999</v>
      </c>
      <c r="F11" s="5">
        <v>23.607859449304001</v>
      </c>
      <c r="G11" s="5">
        <v>6.7738988528541997</v>
      </c>
      <c r="H11" s="5">
        <v>159.91725204198301</v>
      </c>
      <c r="I11" s="6">
        <v>118.178290326154</v>
      </c>
      <c r="J11" s="6">
        <v>73.899650486195696</v>
      </c>
      <c r="K11" s="6">
        <v>10.486057727617199</v>
      </c>
      <c r="L11" s="6">
        <v>7.7491600104899003</v>
      </c>
      <c r="M11">
        <f t="shared" si="0"/>
        <v>2.7320188405348151</v>
      </c>
    </row>
    <row r="12" spans="1:13" ht="15" thickTop="1" thickBot="1" x14ac:dyDescent="0.5">
      <c r="A12" s="5">
        <v>33.9294996</v>
      </c>
      <c r="B12" s="5">
        <v>1450</v>
      </c>
      <c r="C12" s="5">
        <v>5050.99999999998</v>
      </c>
      <c r="D12" s="5">
        <v>1.6327320384203501</v>
      </c>
      <c r="E12" s="5">
        <v>0.32202240224368001</v>
      </c>
      <c r="F12" s="5">
        <v>23.528425555811999</v>
      </c>
      <c r="G12" s="5">
        <v>9.4635808400852</v>
      </c>
      <c r="H12" s="5">
        <v>222.66315728735299</v>
      </c>
      <c r="I12" s="5">
        <v>170.330362992419</v>
      </c>
      <c r="J12" s="5">
        <v>76.496877645816795</v>
      </c>
      <c r="K12" s="5">
        <v>9.5856781476654405</v>
      </c>
      <c r="L12" s="5">
        <v>7.33274448414143</v>
      </c>
      <c r="M12">
        <f t="shared" si="0"/>
        <v>3.599553706542272</v>
      </c>
    </row>
    <row r="13" spans="1:13" ht="15" thickTop="1" thickBot="1" x14ac:dyDescent="0.5">
      <c r="A13" s="5">
        <v>38.054564999999002</v>
      </c>
      <c r="B13" s="5">
        <v>1500</v>
      </c>
      <c r="C13" s="5">
        <v>5517.99999999997</v>
      </c>
      <c r="D13" s="5">
        <v>1.9878731992295</v>
      </c>
      <c r="E13" s="5">
        <v>0.38330009743658</v>
      </c>
      <c r="F13" s="5">
        <v>23.442638656006</v>
      </c>
      <c r="G13" s="5">
        <v>12.140891323584</v>
      </c>
      <c r="H13" s="5">
        <v>284.61452826061799</v>
      </c>
      <c r="I13" s="5">
        <v>221.48751153708699</v>
      </c>
      <c r="J13" s="5">
        <v>77.820170632425999</v>
      </c>
      <c r="K13" s="5">
        <v>8.9751028644187905</v>
      </c>
      <c r="L13" s="5">
        <v>6.98444036352645</v>
      </c>
      <c r="M13">
        <f t="shared" si="0"/>
        <v>4.38250501248534</v>
      </c>
    </row>
    <row r="14" spans="1:13" ht="15" thickTop="1" thickBot="1" x14ac:dyDescent="0.5">
      <c r="A14" s="5">
        <v>42.205407999999998</v>
      </c>
      <c r="B14" s="5">
        <v>1550</v>
      </c>
      <c r="C14" s="5">
        <v>5947.00000000003</v>
      </c>
      <c r="D14" s="5">
        <v>2.2398813294425701</v>
      </c>
      <c r="E14" s="5">
        <v>0.43990569750262998</v>
      </c>
      <c r="F14" s="5">
        <v>23.343889876365001</v>
      </c>
      <c r="G14" s="5">
        <v>15.156926853461</v>
      </c>
      <c r="H14" s="5">
        <v>353.82163133131297</v>
      </c>
      <c r="I14" s="5">
        <v>273.95936021264703</v>
      </c>
      <c r="J14" s="5">
        <v>77.428663471430198</v>
      </c>
      <c r="K14" s="5">
        <v>8.17596203942065</v>
      </c>
      <c r="L14" s="5">
        <v>6.3305381330549002</v>
      </c>
      <c r="M14">
        <f t="shared" si="0"/>
        <v>4.9380871765156789</v>
      </c>
    </row>
    <row r="15" spans="1:13" ht="15" thickTop="1" thickBot="1" x14ac:dyDescent="0.5">
      <c r="A15" s="5">
        <v>46.328860999999002</v>
      </c>
      <c r="B15" s="5">
        <v>1600</v>
      </c>
      <c r="C15" s="5">
        <v>6383.00000000001</v>
      </c>
      <c r="D15" s="5">
        <v>2.6146274082512302</v>
      </c>
      <c r="E15" s="5">
        <v>0.51592978490198005</v>
      </c>
      <c r="F15" s="5">
        <v>23.21870750403</v>
      </c>
      <c r="G15" s="5">
        <v>19.119536687855</v>
      </c>
      <c r="H15" s="5">
        <v>443.93092996787499</v>
      </c>
      <c r="I15" s="5">
        <v>344.86098400431899</v>
      </c>
      <c r="J15" s="5">
        <v>77.683477479092105</v>
      </c>
      <c r="K15" s="5">
        <v>7.5816851703308101</v>
      </c>
      <c r="L15" s="5">
        <v>5.8897166918295998</v>
      </c>
      <c r="M15">
        <f t="shared" si="0"/>
        <v>5.7642598767788265</v>
      </c>
    </row>
    <row r="16" spans="1:13" ht="15" thickTop="1" thickBot="1" x14ac:dyDescent="0.5">
      <c r="A16" s="5">
        <v>50.479440400000001</v>
      </c>
      <c r="B16" s="5">
        <v>1650</v>
      </c>
      <c r="C16" s="5">
        <v>6792</v>
      </c>
      <c r="D16" s="5">
        <v>3.0357613099546699</v>
      </c>
      <c r="E16" s="5">
        <v>0.59246557311966996</v>
      </c>
      <c r="F16" s="5">
        <v>23.080851294315</v>
      </c>
      <c r="G16" s="5">
        <v>23.440974378084</v>
      </c>
      <c r="H16" s="5">
        <v>541.03764381440396</v>
      </c>
      <c r="I16" s="5">
        <v>421.39503539279002</v>
      </c>
      <c r="J16" s="5">
        <v>77.886453966841401</v>
      </c>
      <c r="K16" s="5">
        <v>7.2040746923489101</v>
      </c>
      <c r="L16" s="5">
        <v>5.61099831899321</v>
      </c>
      <c r="M16">
        <f t="shared" si="0"/>
        <v>6.6927000991522636</v>
      </c>
    </row>
    <row r="17" spans="1:17" ht="15" thickTop="1" thickBot="1" x14ac:dyDescent="0.5">
      <c r="A17" s="5">
        <v>54.629613800000001</v>
      </c>
      <c r="B17" s="5">
        <v>1700</v>
      </c>
      <c r="C17" s="5">
        <v>7224.99999999998</v>
      </c>
      <c r="D17" s="5">
        <v>3.3140039976010098</v>
      </c>
      <c r="E17" s="5">
        <v>0.64070692037632004</v>
      </c>
      <c r="F17" s="5">
        <v>22.947844707702998</v>
      </c>
      <c r="G17" s="5">
        <v>27.283432903786</v>
      </c>
      <c r="H17" s="5">
        <v>626.09598136911495</v>
      </c>
      <c r="I17" s="5">
        <v>484.75900379314299</v>
      </c>
      <c r="J17" s="5">
        <v>77.4256692613003</v>
      </c>
      <c r="K17" s="5">
        <v>6.83639493370847</v>
      </c>
      <c r="L17" s="5">
        <v>5.2931245307694104</v>
      </c>
      <c r="M17">
        <f t="shared" si="0"/>
        <v>7.3061194931911375</v>
      </c>
    </row>
    <row r="18" spans="1:17" ht="15" thickTop="1" thickBot="1" x14ac:dyDescent="0.5">
      <c r="A18" s="5">
        <v>58.759991599998997</v>
      </c>
      <c r="B18" s="5">
        <v>1750</v>
      </c>
      <c r="C18" s="5">
        <v>7541.99999999996</v>
      </c>
      <c r="D18" s="5">
        <v>3.8500884178797001</v>
      </c>
      <c r="E18" s="5">
        <v>0.74498350010504999</v>
      </c>
      <c r="F18" s="5">
        <v>22.771632081675001</v>
      </c>
      <c r="G18" s="5">
        <v>33.134104814106003</v>
      </c>
      <c r="H18" s="5">
        <v>754.51764418247797</v>
      </c>
      <c r="I18" s="5">
        <v>588.385281311271</v>
      </c>
      <c r="J18" s="5">
        <v>77.981646399904704</v>
      </c>
      <c r="K18" s="5">
        <v>6.5434818649770099</v>
      </c>
      <c r="L18" s="5">
        <v>5.1027148901882597</v>
      </c>
      <c r="M18">
        <f t="shared" si="0"/>
        <v>8.4879819278259436</v>
      </c>
    </row>
    <row r="19" spans="1:17" ht="15" thickTop="1" thickBot="1" x14ac:dyDescent="0.5">
      <c r="A19" s="5">
        <v>62.881272199999003</v>
      </c>
      <c r="B19" s="5">
        <v>1800</v>
      </c>
      <c r="C19" s="5">
        <v>7895.99999999996</v>
      </c>
      <c r="D19" s="5">
        <v>4.2767178993232102</v>
      </c>
      <c r="E19" s="5">
        <v>0.81522593524382003</v>
      </c>
      <c r="F19" s="5">
        <v>22.598714173025002</v>
      </c>
      <c r="G19" s="5">
        <v>38.707002380745998</v>
      </c>
      <c r="H19" s="5">
        <v>874.72848329707699</v>
      </c>
      <c r="I19" s="5">
        <v>674.08357537560801</v>
      </c>
      <c r="J19" s="5">
        <v>77.062035619877506</v>
      </c>
      <c r="K19" s="5">
        <v>6.3444920712393396</v>
      </c>
      <c r="L19" s="5">
        <v>4.8891947398387696</v>
      </c>
      <c r="M19">
        <f t="shared" si="0"/>
        <v>9.4285378152059351</v>
      </c>
    </row>
    <row r="20" spans="1:17" ht="15" thickTop="1" thickBot="1" x14ac:dyDescent="0.5">
      <c r="A20" s="5">
        <v>67.008852199998998</v>
      </c>
      <c r="B20" s="5">
        <v>1850</v>
      </c>
      <c r="C20" s="5">
        <v>8204.0000000000091</v>
      </c>
      <c r="D20" s="5">
        <v>4.7200607966484904</v>
      </c>
      <c r="E20" s="5">
        <v>0.90083081507878005</v>
      </c>
      <c r="F20" s="5">
        <v>22.408540394726</v>
      </c>
      <c r="G20" s="5">
        <v>44.923365744260998</v>
      </c>
      <c r="H20" s="5">
        <v>1006.66705594732</v>
      </c>
      <c r="I20" s="5">
        <v>773.92255447564298</v>
      </c>
      <c r="J20" s="5">
        <v>76.879694224953496</v>
      </c>
      <c r="K20" s="5">
        <v>6.09888000983055</v>
      </c>
      <c r="L20" s="5">
        <v>4.6888003027045402</v>
      </c>
      <c r="M20">
        <f t="shared" si="0"/>
        <v>10.405940433507194</v>
      </c>
    </row>
    <row r="21" spans="1:17" ht="15" thickTop="1" thickBot="1" x14ac:dyDescent="0.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>
        <f t="shared" si="0"/>
        <v>0</v>
      </c>
    </row>
    <row r="22" spans="1:17" ht="15" thickTop="1" thickBot="1" x14ac:dyDescent="0.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>
        <f t="shared" si="0"/>
        <v>0</v>
      </c>
    </row>
    <row r="23" spans="1:17" ht="15" thickTop="1" thickBot="1" x14ac:dyDescent="0.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>
        <f t="shared" si="0"/>
        <v>0</v>
      </c>
    </row>
    <row r="24" spans="1:17" ht="15" thickTop="1" thickBot="1" x14ac:dyDescent="0.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>
        <f t="shared" si="0"/>
        <v>0</v>
      </c>
    </row>
    <row r="25" spans="1:17" ht="15" thickTop="1" thickBot="1" x14ac:dyDescent="0.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>
        <f t="shared" si="0"/>
        <v>0</v>
      </c>
    </row>
    <row r="26" spans="1:17" ht="15" thickTop="1" thickBot="1" x14ac:dyDescent="0.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>
        <f t="shared" si="0"/>
        <v>0</v>
      </c>
    </row>
    <row r="27" spans="1:17" ht="15" thickTop="1" thickBot="1" x14ac:dyDescent="0.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>
        <f t="shared" si="0"/>
        <v>0</v>
      </c>
    </row>
    <row r="28" spans="1:17" ht="15" thickTop="1" thickBot="1" x14ac:dyDescent="0.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>
        <f t="shared" si="0"/>
        <v>0</v>
      </c>
    </row>
    <row r="29" spans="1:17" ht="15" thickTop="1" thickBot="1" x14ac:dyDescent="0.5"/>
    <row r="30" spans="1:17" ht="15" thickTop="1" thickBot="1" x14ac:dyDescent="0.5">
      <c r="H30" s="95" t="s">
        <v>32</v>
      </c>
      <c r="I30" s="96"/>
      <c r="J30" s="96"/>
      <c r="K30" s="96"/>
      <c r="L30" s="96"/>
      <c r="M30" s="96"/>
      <c r="N30" s="96"/>
      <c r="O30" s="96"/>
      <c r="P30" s="96"/>
      <c r="Q30" s="97"/>
    </row>
    <row r="31" spans="1:17" ht="15" thickTop="1" thickBot="1" x14ac:dyDescent="0.5">
      <c r="H31" s="5" t="s">
        <v>18</v>
      </c>
      <c r="I31" s="5" t="s">
        <v>15</v>
      </c>
      <c r="J31" s="5" t="s">
        <v>53</v>
      </c>
      <c r="K31" s="5" t="s">
        <v>17</v>
      </c>
      <c r="L31" s="5" t="s">
        <v>19</v>
      </c>
      <c r="M31" s="5" t="s">
        <v>22</v>
      </c>
      <c r="N31" s="5" t="s">
        <v>20</v>
      </c>
      <c r="O31" s="5" t="s">
        <v>21</v>
      </c>
      <c r="P31" s="5" t="s">
        <v>44</v>
      </c>
      <c r="Q31" s="5" t="s">
        <v>45</v>
      </c>
    </row>
    <row r="32" spans="1:17" ht="15" thickTop="1" thickBot="1" x14ac:dyDescent="0.5">
      <c r="H32" s="5">
        <v>15</v>
      </c>
      <c r="I32" s="5">
        <f>'Important Info'!H4</f>
        <v>11.119047619047619</v>
      </c>
      <c r="J32" s="5">
        <f>I32/4.448</f>
        <v>2.4997858855772521</v>
      </c>
      <c r="K32" s="5" cm="1">
        <f t="array" ref="K32">ROUND(interpolate_for_x($C$4:$C$28,$D$4:$D$28,I32/9.807), 1)</f>
        <v>4314.1000000000004</v>
      </c>
      <c r="L32" s="5" cm="1">
        <f t="array" ref="L32">ROUND(interpolate_for_y($C$4:$C$28, $F$4:$F$28, K32), 1)</f>
        <v>23.6</v>
      </c>
      <c r="M32" s="5" cm="1">
        <f t="array" ref="M32">ROUND(interpolate_for_y($C$4:$C$28, $G$4:$G$28, K32), 2)</f>
        <v>6.11</v>
      </c>
      <c r="N32" s="5" cm="1">
        <f t="array" ref="N32">ROUND(interpolate_for_y($C$4:$C$28, $H$4:$H$28, K32), 2)</f>
        <v>144.34</v>
      </c>
      <c r="O32" s="5" cm="1">
        <f t="array" ref="O32">ROUND(interpolate_for_y($C$4:$C$28,$I$4:$I$28, K32), 2)</f>
        <v>105.97</v>
      </c>
      <c r="P32" s="5">
        <f>N32*6</f>
        <v>866.04</v>
      </c>
      <c r="Q32" s="5">
        <f>O32*6</f>
        <v>635.81999999999994</v>
      </c>
    </row>
    <row r="33" spans="8:17" ht="15" thickTop="1" thickBot="1" x14ac:dyDescent="0.5">
      <c r="H33" s="5">
        <v>20</v>
      </c>
      <c r="I33" s="5">
        <f>'Important Info'!H5</f>
        <v>14.825396825396824</v>
      </c>
      <c r="J33" s="5">
        <f t="shared" ref="J33:J36" si="1">I33/4.448</f>
        <v>3.3330478474363363</v>
      </c>
      <c r="K33" s="5" cm="1">
        <f t="array" ref="K33">ROUND(interpolate_for_x($C$4:$C$28,$D$4:$D$28,I33/9.807), 1)</f>
        <v>4886.3</v>
      </c>
      <c r="L33" s="5" cm="1">
        <f t="array" ref="L33">ROUND(interpolate_for_y($C$4:$C$28, $F$4:$F$28, K33), 1)</f>
        <v>23.6</v>
      </c>
      <c r="M33" s="5" cm="1">
        <f t="array" ref="M33">ROUND(interpolate_for_y($C$4:$C$28, $G$4:$G$28, K33), 2)</f>
        <v>8.6300000000000008</v>
      </c>
      <c r="N33" s="5" cm="1">
        <f t="array" ref="N33">ROUND(interpolate_for_y($C$4:$C$28, $H$4:$H$28, K33), 2)</f>
        <v>203.22</v>
      </c>
      <c r="O33" s="5" cm="1">
        <f t="array" ref="O33">ROUND(interpolate_for_y($C$4:$C$28,$I$4:$I$28, K33), 2)</f>
        <v>153.88</v>
      </c>
      <c r="P33" s="5">
        <f>N33*6</f>
        <v>1219.32</v>
      </c>
      <c r="Q33" s="5">
        <f t="shared" ref="Q33:Q36" si="2">O33*6</f>
        <v>923.28</v>
      </c>
    </row>
    <row r="34" spans="8:17" ht="15" thickTop="1" thickBot="1" x14ac:dyDescent="0.5">
      <c r="H34" s="7">
        <v>25</v>
      </c>
      <c r="I34" s="7">
        <f>'Important Info'!H6</f>
        <v>18.531746031746032</v>
      </c>
      <c r="J34" s="7">
        <f t="shared" si="1"/>
        <v>4.1663098092954201</v>
      </c>
      <c r="K34" s="7" cm="1">
        <f t="array" ref="K34">ROUND(interpolate_for_x($C$4:$C$28,$D$4:$D$28,I34/9.807), 1)</f>
        <v>5374.8</v>
      </c>
      <c r="L34" s="7" cm="1">
        <f t="array" ref="L34">ROUND(interpolate_for_y($C$4:$C$28, $F$4:$F$28, K34), 1)</f>
        <v>23.5</v>
      </c>
      <c r="M34" s="7" cm="1">
        <f t="array" ref="M34">ROUND(interpolate_for_y($C$4:$C$28, $G$4:$G$28, K34), 2)</f>
        <v>11.26</v>
      </c>
      <c r="N34" s="7" cm="1">
        <f t="array" ref="N34">ROUND(interpolate_for_y($C$4:$C$28, $H$4:$H$28, K34), 2)</f>
        <v>264.37</v>
      </c>
      <c r="O34" s="7" cm="1">
        <f t="array" ref="O34">ROUND(interpolate_for_y($C$4:$C$28,$I$4:$I$28, K34), 2)</f>
        <v>205.29</v>
      </c>
      <c r="P34" s="7">
        <f t="shared" ref="P34:P36" si="3">N34*6</f>
        <v>1586.22</v>
      </c>
      <c r="Q34" s="7">
        <f t="shared" si="2"/>
        <v>1231.74</v>
      </c>
    </row>
    <row r="35" spans="8:17" ht="15" thickTop="1" thickBot="1" x14ac:dyDescent="0.5">
      <c r="H35" s="5">
        <v>30</v>
      </c>
      <c r="I35" s="5">
        <f>'Important Info'!H7</f>
        <v>22.238095238095237</v>
      </c>
      <c r="J35" s="5">
        <f t="shared" si="1"/>
        <v>4.9995717711545042</v>
      </c>
      <c r="K35" s="5" cm="1">
        <f t="array" ref="K35">ROUND(interpolate_for_x($C$4:$C$28,$D$4:$D$28,I35/9.807), 1)</f>
        <v>5989.8</v>
      </c>
      <c r="L35" s="5" cm="1">
        <f t="array" ref="L35">ROUND(interpolate_for_y($C$4:$C$28, $F$4:$F$28, K35), 1)</f>
        <v>23.3</v>
      </c>
      <c r="M35" s="5" cm="1">
        <f t="array" ref="M35">ROUND(interpolate_for_y($C$4:$C$28, $G$4:$G$28, K35), 2)</f>
        <v>15.5</v>
      </c>
      <c r="N35" s="5" cm="1">
        <f t="array" ref="N35">ROUND(interpolate_for_y($C$4:$C$28, $H$4:$H$28, K35), 2)</f>
        <v>361.56</v>
      </c>
      <c r="O35" s="5" cm="1">
        <f t="array" ref="O35">ROUND(interpolate_for_y($C$4:$C$28,$I$4:$I$28, K35), 2)</f>
        <v>279.89</v>
      </c>
      <c r="P35" s="5">
        <f t="shared" si="3"/>
        <v>2169.36</v>
      </c>
      <c r="Q35" s="5">
        <f t="shared" si="2"/>
        <v>1679.34</v>
      </c>
    </row>
    <row r="36" spans="8:17" ht="15" thickTop="1" thickBot="1" x14ac:dyDescent="0.5">
      <c r="H36" s="5">
        <v>35</v>
      </c>
      <c r="I36" s="5">
        <f>'Important Info'!H8</f>
        <v>25.944444444444443</v>
      </c>
      <c r="J36" s="5">
        <f t="shared" si="1"/>
        <v>5.8328337330135884</v>
      </c>
      <c r="K36" s="5" cm="1">
        <f t="array" ref="K36">ROUND(interpolate_for_x($C$4:$C$28,$D$4:$D$28,I36/9.807), 1)</f>
        <v>6408.9</v>
      </c>
      <c r="L36" s="5" cm="1">
        <f t="array" ref="L36">ROUND(interpolate_for_y($C$4:$C$28, $F$4:$F$28, K36), 1)</f>
        <v>23.2</v>
      </c>
      <c r="M36" s="5" cm="1">
        <f t="array" ref="M36">ROUND(interpolate_for_y($C$4:$C$28, $G$4:$G$28, K36), 2)</f>
        <v>19.399999999999999</v>
      </c>
      <c r="N36" s="5" cm="1">
        <f t="array" ref="N36">ROUND(interpolate_for_y($C$4:$C$28, $H$4:$H$28, K36), 2)</f>
        <v>450.28</v>
      </c>
      <c r="O36" s="5" cm="1">
        <f t="array" ref="O36">ROUND(interpolate_for_y($C$4:$C$28,$I$4:$I$28, K36), 2)</f>
        <v>349.94</v>
      </c>
      <c r="P36" s="5">
        <f t="shared" si="3"/>
        <v>2701.68</v>
      </c>
      <c r="Q36" s="5">
        <f t="shared" si="2"/>
        <v>2099.64</v>
      </c>
    </row>
    <row r="37" spans="8:17" ht="15" thickTop="1" thickBot="1" x14ac:dyDescent="0.5"/>
    <row r="38" spans="8:17" ht="15" thickTop="1" thickBot="1" x14ac:dyDescent="0.5">
      <c r="I38" s="95" t="s">
        <v>34</v>
      </c>
      <c r="J38" s="96"/>
      <c r="K38" s="96"/>
      <c r="L38" s="96"/>
      <c r="M38" s="96"/>
      <c r="N38" s="96"/>
      <c r="O38" s="96"/>
      <c r="P38" s="96"/>
      <c r="Q38" s="97"/>
    </row>
    <row r="39" spans="8:17" ht="15" thickTop="1" thickBot="1" x14ac:dyDescent="0.5">
      <c r="I39" s="5" t="s">
        <v>18</v>
      </c>
      <c r="J39" s="5" t="s">
        <v>15</v>
      </c>
      <c r="K39" s="5" t="s">
        <v>17</v>
      </c>
      <c r="L39" s="5" t="s">
        <v>19</v>
      </c>
      <c r="M39" s="5" t="s">
        <v>22</v>
      </c>
      <c r="N39" s="5" t="s">
        <v>20</v>
      </c>
      <c r="O39" s="5" t="s">
        <v>21</v>
      </c>
      <c r="P39" s="5" t="s">
        <v>44</v>
      </c>
      <c r="Q39" s="5" t="s">
        <v>45</v>
      </c>
    </row>
    <row r="40" spans="8:17" ht="15" thickTop="1" thickBot="1" x14ac:dyDescent="0.5">
      <c r="I40" s="5">
        <v>15</v>
      </c>
      <c r="J40" s="5">
        <f>'Important Info'!J4</f>
        <v>16.678571428571427</v>
      </c>
      <c r="K40" s="5" cm="1">
        <f t="array" ref="K40">interpolate_for_x($C$4:$C$28,$D$4:$D$28,J40/9.807)</f>
        <v>5136.591860498449</v>
      </c>
      <c r="L40" s="5" cm="1">
        <f t="array" ref="L40">interpolate_for_y($C$4:$C$28, $F$4:$F$28, K40)</f>
        <v>23.514315397135306</v>
      </c>
      <c r="M40" s="5" cm="1">
        <f t="array" ref="M40">interpolate_for_y($C$4:$C$28, $G$4:$G$28, K40)</f>
        <v>9.917607333934221</v>
      </c>
      <c r="N40" s="5" cm="1">
        <f t="array" ref="N40">interpolate_for_y($C$4:$C$28, $H$4:$H$28, K40)</f>
        <v>233.20696518986566</v>
      </c>
      <c r="O40" s="5" cm="1">
        <f t="array" ref="O40">interpolate_for_y($C$4:$C$28,$I$4:$I$28, K40)</f>
        <v>179.27656509296901</v>
      </c>
      <c r="P40" s="5">
        <f>ROUND(N40*4, 1)</f>
        <v>932.8</v>
      </c>
      <c r="Q40" s="5">
        <f>ROUND(O40*4, 2)</f>
        <v>717.11</v>
      </c>
    </row>
    <row r="41" spans="8:17" ht="15" thickTop="1" thickBot="1" x14ac:dyDescent="0.5">
      <c r="I41" s="5">
        <v>20</v>
      </c>
      <c r="J41" s="5">
        <f>'Important Info'!J5</f>
        <v>22.238095238095237</v>
      </c>
      <c r="K41" s="5" cm="1">
        <f t="array" ref="K41">interpolate_for_x($C$4:$C$28,$D$4:$D$28,J41/9.807)</f>
        <v>5989.8050925761354</v>
      </c>
      <c r="L41" s="5" cm="1">
        <f t="array" ref="L41">interpolate_for_y($C$4:$C$28, $F$4:$F$28, K41)</f>
        <v>23.332986376874132</v>
      </c>
      <c r="M41" s="5" cm="1">
        <f t="array" ref="M41">interpolate_for_y($C$4:$C$28, $G$4:$G$28, K41)</f>
        <v>15.495498291201503</v>
      </c>
      <c r="N41" s="5" cm="1">
        <f t="array" ref="N41">interpolate_for_y($C$4:$C$28, $H$4:$H$28, K41)</f>
        <v>361.56290494287003</v>
      </c>
      <c r="O41" s="5" cm="1">
        <f t="array" ref="O41">interpolate_for_y($C$4:$C$28,$I$4:$I$28, K41)</f>
        <v>279.89378817335802</v>
      </c>
      <c r="P41" s="5">
        <f t="shared" ref="P41:P44" si="4">ROUND(N41*4, 1)</f>
        <v>1446.3</v>
      </c>
      <c r="Q41" s="5">
        <f t="shared" ref="Q41:Q44" si="5">ROUND(O41*4, 2)</f>
        <v>1119.58</v>
      </c>
    </row>
    <row r="42" spans="8:17" ht="15" thickTop="1" thickBot="1" x14ac:dyDescent="0.5">
      <c r="I42" s="7">
        <v>25</v>
      </c>
      <c r="J42" s="7">
        <f>'Important Info'!J6</f>
        <v>27.797619047619047</v>
      </c>
      <c r="K42" s="7" cm="1">
        <f t="array" ref="K42">interpolate_for_x($C$4:$C$28,$D$4:$D$28,J42/9.807)</f>
        <v>6565.3517653433819</v>
      </c>
      <c r="L42" s="7" cm="1">
        <f t="array" ref="L42">interpolate_for_y($C$4:$C$28, $F$4:$F$28, K42)</f>
        <v>23.155136453994643</v>
      </c>
      <c r="M42" s="7" cm="1">
        <f t="array" ref="M42">interpolate_for_y($C$4:$C$28, $G$4:$G$28, K42)</f>
        <v>21.157939380739471</v>
      </c>
      <c r="N42" s="7" cm="1">
        <f t="array" ref="N42">interpolate_for_y($C$4:$C$28, $H$4:$H$28, K42)</f>
        <v>489.8432420444712</v>
      </c>
      <c r="O42" s="7" cm="1">
        <f t="array" ref="O42">interpolate_for_y($C$4:$C$28,$I$4:$I$28, K42)</f>
        <v>381.57463417193651</v>
      </c>
      <c r="P42" s="7">
        <f t="shared" si="4"/>
        <v>1959.4</v>
      </c>
      <c r="Q42" s="7">
        <f t="shared" si="5"/>
        <v>1526.3</v>
      </c>
    </row>
    <row r="43" spans="8:17" ht="15" thickTop="1" thickBot="1" x14ac:dyDescent="0.5">
      <c r="I43" s="5">
        <v>30</v>
      </c>
      <c r="J43" s="5">
        <f>'Important Info'!J7</f>
        <v>33.357142857142854</v>
      </c>
      <c r="K43" s="5" cm="1">
        <f t="array" ref="K43">interpolate_for_x($C$4:$C$28,$D$4:$D$28,J43/9.807)</f>
        <v>7319.1949990980374</v>
      </c>
      <c r="L43" s="5" cm="1">
        <f t="array" ref="L43">interpolate_for_y($C$4:$C$28, $F$4:$F$28, K43)</f>
        <v>22.899908128350493</v>
      </c>
      <c r="M43" s="5" cm="1">
        <f t="array" ref="M43">interpolate_for_y($C$4:$C$28, $G$4:$G$28, K43)</f>
        <v>28.84911518275597</v>
      </c>
      <c r="N43" s="5" cm="1">
        <f t="array" ref="N43">interpolate_for_y($C$4:$C$28, $H$4:$H$28, K43)</f>
        <v>660.54479384179922</v>
      </c>
      <c r="O43" s="5" cm="1">
        <f t="array" ref="O43">interpolate_for_y($C$4:$C$28,$I$4:$I$28, K43)</f>
        <v>512.75371225269453</v>
      </c>
      <c r="P43" s="5">
        <f t="shared" si="4"/>
        <v>2642.2</v>
      </c>
      <c r="Q43" s="5">
        <f t="shared" si="5"/>
        <v>2051.0100000000002</v>
      </c>
    </row>
    <row r="44" spans="8:17" ht="15" thickTop="1" thickBot="1" x14ac:dyDescent="0.5">
      <c r="I44" s="5">
        <v>35</v>
      </c>
      <c r="J44" s="5">
        <f>'Important Info'!J8</f>
        <v>38.916666666666664</v>
      </c>
      <c r="K44" s="5" cm="1">
        <f t="array" ref="K44">interpolate_for_x($C$4:$C$28,$D$4:$D$28,J44/9.807)</f>
        <v>7619.4437106045998</v>
      </c>
      <c r="L44" s="5" cm="1">
        <f t="array" ref="L44">interpolate_for_y($C$4:$C$28, $F$4:$F$28, K44)</f>
        <v>22.731120665315689</v>
      </c>
      <c r="M44" s="5" cm="1">
        <f t="array" ref="M44">interpolate_for_y($C$4:$C$28, $G$4:$G$28, K44)</f>
        <v>34.465227687687133</v>
      </c>
      <c r="N44" s="5" cm="1">
        <f t="array" ref="N44">interpolate_for_y($C$4:$C$28, $H$4:$H$28, K44)</f>
        <v>783.51597777668712</v>
      </c>
      <c r="O44" s="5" cm="1">
        <f t="array" ref="O44">interpolate_for_y($C$4:$C$28,$I$4:$I$28, K44)</f>
        <v>610.26381637965858</v>
      </c>
      <c r="P44" s="5">
        <f t="shared" si="4"/>
        <v>3134.1</v>
      </c>
      <c r="Q44" s="5">
        <f t="shared" si="5"/>
        <v>2441.06</v>
      </c>
    </row>
    <row r="45" spans="8:17" ht="15" thickTop="1" thickBot="1" x14ac:dyDescent="0.5"/>
    <row r="46" spans="8:17" ht="15" thickTop="1" thickBot="1" x14ac:dyDescent="0.5">
      <c r="I46" s="95" t="s">
        <v>40</v>
      </c>
      <c r="J46" s="96"/>
      <c r="K46" s="96"/>
      <c r="L46" s="96"/>
      <c r="M46" s="96"/>
      <c r="N46" s="96"/>
      <c r="O46" s="96"/>
      <c r="P46" s="96"/>
      <c r="Q46" s="97"/>
    </row>
    <row r="47" spans="8:17" ht="15" thickTop="1" thickBot="1" x14ac:dyDescent="0.5">
      <c r="I47" s="5" t="s">
        <v>18</v>
      </c>
      <c r="J47" s="5" t="s">
        <v>15</v>
      </c>
      <c r="K47" s="5" t="s">
        <v>17</v>
      </c>
      <c r="L47" s="5" t="s">
        <v>19</v>
      </c>
      <c r="M47" s="5" t="s">
        <v>22</v>
      </c>
      <c r="N47" s="5" t="s">
        <v>20</v>
      </c>
      <c r="O47" s="5" t="s">
        <v>21</v>
      </c>
      <c r="P47" s="5" t="s">
        <v>44</v>
      </c>
      <c r="Q47" s="5" t="s">
        <v>45</v>
      </c>
    </row>
    <row r="48" spans="8:17" ht="15" thickTop="1" thickBot="1" x14ac:dyDescent="0.5">
      <c r="I48" s="5">
        <v>15</v>
      </c>
      <c r="J48" s="5">
        <f>'Important Info'!L4</f>
        <v>8.3392857142857135</v>
      </c>
      <c r="K48" s="5" cm="1">
        <f t="array" ref="K48">interpolate_for_x($C$4:$C$28,$D$4:$D$28,J48/9.807)</f>
        <v>3698.8062544659842</v>
      </c>
      <c r="L48" s="5" cm="1">
        <f t="array" ref="L48">interpolate_for_y($C$4:$C$28, $F$4:$F$28, K48)</f>
        <v>23.690178609147758</v>
      </c>
      <c r="M48" s="5" cm="1">
        <f t="array" ref="M48">interpolate_for_y($C$4:$C$28, $G$4:$G$28, K48)</f>
        <v>4.0613182181393785</v>
      </c>
      <c r="N48" s="5" cm="1">
        <f t="array" ref="N48">interpolate_for_y($C$4:$C$28, $H$4:$H$28, K48)</f>
        <v>96.213522564526102</v>
      </c>
      <c r="O48" s="5" cm="1">
        <f t="array" ref="O48">interpolate_for_y($C$4:$C$28,$I$4:$I$28, K48)</f>
        <v>67.89999722097761</v>
      </c>
      <c r="P48" s="5">
        <f>ROUND(N48*8, 1)</f>
        <v>769.7</v>
      </c>
      <c r="Q48" s="5">
        <f>ROUND(O48*8, 2)</f>
        <v>543.20000000000005</v>
      </c>
    </row>
    <row r="49" spans="9:19" ht="15" thickTop="1" thickBot="1" x14ac:dyDescent="0.5">
      <c r="I49" s="5">
        <v>20</v>
      </c>
      <c r="J49" s="5">
        <f>'Important Info'!L5</f>
        <v>11.119047619047619</v>
      </c>
      <c r="K49" s="5" cm="1">
        <f t="array" ref="K49">interpolate_for_x($C$4:$C$28,$D$4:$D$28,J49/9.807)</f>
        <v>4314.0854636619715</v>
      </c>
      <c r="L49" s="5" cm="1">
        <f t="array" ref="L49">interpolate_for_y($C$4:$C$28, $F$4:$F$28, K49)</f>
        <v>23.627358998020416</v>
      </c>
      <c r="M49" s="5" cm="1">
        <f t="array" ref="M49">interpolate_for_y($C$4:$C$28, $G$4:$G$28, K49)</f>
        <v>6.1091558690425467</v>
      </c>
      <c r="N49" s="5" cm="1">
        <f t="array" ref="N49">interpolate_for_y($C$4:$C$28, $H$4:$H$28, K49)</f>
        <v>144.34315690826003</v>
      </c>
      <c r="O49" s="5" cm="1">
        <f t="array" ref="O49">interpolate_for_y($C$4:$C$28,$I$4:$I$28, K49)</f>
        <v>105.97065988874942</v>
      </c>
      <c r="P49" s="5">
        <f t="shared" ref="P49:P52" si="6">ROUND(N49*8, 1)</f>
        <v>1154.7</v>
      </c>
      <c r="Q49" s="5">
        <f t="shared" ref="Q49:Q52" si="7">ROUND(O49*8, 2)</f>
        <v>847.77</v>
      </c>
    </row>
    <row r="50" spans="9:19" ht="15" thickTop="1" thickBot="1" x14ac:dyDescent="0.5">
      <c r="I50" s="7">
        <v>25</v>
      </c>
      <c r="J50" s="7">
        <f>'Important Info'!L6</f>
        <v>13.898809523809524</v>
      </c>
      <c r="K50" s="7" cm="1">
        <f t="array" ref="K50">interpolate_for_x($C$4:$C$28,$D$4:$D$28,J50/9.807)</f>
        <v>4748.8098543180877</v>
      </c>
      <c r="L50" s="7" cm="1">
        <f t="array" ref="L50">interpolate_for_y($C$4:$C$28, $F$4:$F$28, K50)</f>
        <v>23.573155162891766</v>
      </c>
      <c r="M50" s="7" cm="1">
        <f t="array" ref="M50">interpolate_for_y($C$4:$C$28, $G$4:$G$28, K50)</f>
        <v>7.9683087988490708</v>
      </c>
      <c r="N50" s="7" cm="1">
        <f t="array" ref="N50">interpolate_for_y($C$4:$C$28, $H$4:$H$28, K50)</f>
        <v>187.83827936056602</v>
      </c>
      <c r="O50" s="7" cm="1">
        <f t="array" ref="O50">interpolate_for_y($C$4:$C$28,$I$4:$I$28, K50)</f>
        <v>140.98437188985056</v>
      </c>
      <c r="P50" s="7">
        <f t="shared" si="6"/>
        <v>1502.7</v>
      </c>
      <c r="Q50" s="7">
        <f t="shared" si="7"/>
        <v>1127.8699999999999</v>
      </c>
    </row>
    <row r="51" spans="9:19" ht="15" thickTop="1" thickBot="1" x14ac:dyDescent="0.5">
      <c r="I51" s="5">
        <v>30</v>
      </c>
      <c r="J51" s="5">
        <f>'Important Info'!L7</f>
        <v>16.678571428571427</v>
      </c>
      <c r="K51" s="5" cm="1">
        <f t="array" ref="K51">interpolate_for_x($C$4:$C$28,$D$4:$D$28,J51/9.807)</f>
        <v>5136.591860498449</v>
      </c>
      <c r="L51" s="5" cm="1">
        <f t="array" ref="L51">interpolate_for_y($C$4:$C$28, $F$4:$F$28, K51)</f>
        <v>23.514315397135306</v>
      </c>
      <c r="M51" s="5" cm="1">
        <f t="array" ref="M51">interpolate_for_y($C$4:$C$28, $G$4:$G$28, K51)</f>
        <v>9.917607333934221</v>
      </c>
      <c r="N51" s="5" cm="1">
        <f t="array" ref="N51">interpolate_for_y($C$4:$C$28, $H$4:$H$28, K51)</f>
        <v>233.20696518986566</v>
      </c>
      <c r="O51" s="5" cm="1">
        <f t="array" ref="O51">interpolate_for_y($C$4:$C$28,$I$4:$I$28, K51)</f>
        <v>179.27656509296901</v>
      </c>
      <c r="P51" s="5">
        <f t="shared" si="6"/>
        <v>1865.7</v>
      </c>
      <c r="Q51" s="5">
        <f t="shared" si="7"/>
        <v>1434.21</v>
      </c>
    </row>
    <row r="52" spans="9:19" ht="15" thickTop="1" thickBot="1" x14ac:dyDescent="0.5">
      <c r="I52" s="5">
        <v>35</v>
      </c>
      <c r="J52" s="5">
        <f>'Important Info'!L8</f>
        <v>19.458333333333332</v>
      </c>
      <c r="K52" s="5" cm="1">
        <f t="array" ref="K52">interpolate_for_x($C$4:$C$28,$D$4:$D$28,J52/9.807)</f>
        <v>5512.0989814498353</v>
      </c>
      <c r="L52" s="5" cm="1">
        <f t="array" ref="L52">interpolate_for_y($C$4:$C$28, $F$4:$F$28, K52)</f>
        <v>23.443861908887811</v>
      </c>
      <c r="M52" s="5" cm="1">
        <f t="array" ref="M52">interpolate_for_y($C$4:$C$28, $G$4:$G$28, K52)</f>
        <v>12.103613869814314</v>
      </c>
      <c r="N52" s="5" cm="1">
        <f t="array" ref="N52">interpolate_for_y($C$4:$C$28, $H$4:$H$28, K52)</f>
        <v>283.75567245842956</v>
      </c>
      <c r="O52" s="5" cm="1">
        <f t="array" ref="O52">interpolate_for_y($C$4:$C$28,$I$4:$I$28, K52)</f>
        <v>220.81471658308718</v>
      </c>
      <c r="P52" s="5">
        <f t="shared" si="6"/>
        <v>2270</v>
      </c>
      <c r="Q52" s="5">
        <f t="shared" si="7"/>
        <v>1766.52</v>
      </c>
    </row>
    <row r="53" spans="9:19" ht="14.65" thickTop="1" x14ac:dyDescent="0.45">
      <c r="K53" s="91"/>
      <c r="L53" s="91"/>
      <c r="M53" s="91"/>
      <c r="N53" s="91"/>
      <c r="O53" s="91"/>
    </row>
    <row r="54" spans="9:19" x14ac:dyDescent="0.45">
      <c r="M54" s="91"/>
      <c r="N54" s="91"/>
      <c r="O54" s="91"/>
      <c r="P54" s="91"/>
      <c r="Q54" s="91"/>
      <c r="R54" s="91"/>
      <c r="S54" s="91"/>
    </row>
    <row r="55" spans="9:19" x14ac:dyDescent="0.45">
      <c r="M55" s="2"/>
      <c r="N55" s="2"/>
      <c r="O55" s="2"/>
      <c r="P55" s="2"/>
      <c r="Q55" s="2"/>
      <c r="R55" s="2"/>
    </row>
    <row r="75" spans="10:14" x14ac:dyDescent="0.45">
      <c r="J75" s="1"/>
      <c r="K75" s="1"/>
      <c r="L75" s="1"/>
      <c r="M75" s="1"/>
      <c r="N75" s="1"/>
    </row>
    <row r="95" spans="11:15" x14ac:dyDescent="0.45">
      <c r="K95" s="91"/>
      <c r="L95" s="91"/>
      <c r="M95" s="91"/>
      <c r="N95" s="91"/>
      <c r="O95" s="91"/>
    </row>
  </sheetData>
  <sortState xmlns:xlrd2="http://schemas.microsoft.com/office/spreadsheetml/2017/richdata2" ref="A4:L24">
    <sortCondition ref="C4:C24"/>
  </sortState>
  <mergeCells count="7">
    <mergeCell ref="H30:Q30"/>
    <mergeCell ref="K95:O95"/>
    <mergeCell ref="K53:O53"/>
    <mergeCell ref="M54:O54"/>
    <mergeCell ref="P54:S54"/>
    <mergeCell ref="I46:Q46"/>
    <mergeCell ref="I38:Q38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73BF-B838-4A94-AEE0-31FFBFC25D6E}">
  <sheetPr codeName="Sheet3"/>
  <dimension ref="A1:Q53"/>
  <sheetViews>
    <sheetView topLeftCell="A16" zoomScale="79" workbookViewId="0">
      <selection activeCell="A50" sqref="A50"/>
    </sheetView>
  </sheetViews>
  <sheetFormatPr defaultRowHeight="14.25" x14ac:dyDescent="0.45"/>
  <cols>
    <col min="1" max="1" width="31.06640625" bestFit="1" customWidth="1"/>
    <col min="2" max="2" width="10.19921875" bestFit="1" customWidth="1"/>
    <col min="3" max="3" width="17.265625" bestFit="1" customWidth="1"/>
    <col min="4" max="6" width="11.73046875" bestFit="1" customWidth="1"/>
    <col min="7" max="7" width="12.33203125" bestFit="1" customWidth="1"/>
    <col min="8" max="8" width="16.3984375" bestFit="1" customWidth="1"/>
    <col min="9" max="9" width="18.1328125" bestFit="1" customWidth="1"/>
    <col min="10" max="10" width="21.3984375" bestFit="1" customWidth="1"/>
    <col min="11" max="11" width="20.9296875" bestFit="1" customWidth="1"/>
    <col min="12" max="12" width="28.33203125" bestFit="1" customWidth="1"/>
    <col min="13" max="13" width="14.265625" bestFit="1" customWidth="1"/>
    <col min="14" max="15" width="12.19921875" bestFit="1" customWidth="1"/>
    <col min="16" max="16" width="13" bestFit="1" customWidth="1"/>
    <col min="17" max="17" width="13.796875" bestFit="1" customWidth="1"/>
  </cols>
  <sheetData>
    <row r="1" spans="1:13" ht="15" thickTop="1" thickBot="1" x14ac:dyDescent="0.5">
      <c r="A1" s="4" t="s">
        <v>79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3" ht="15" thickTop="1" thickBot="1" x14ac:dyDescent="0.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3" ht="15" thickTop="1" thickBot="1" x14ac:dyDescent="0.5">
      <c r="A3" s="5" t="s">
        <v>6</v>
      </c>
      <c r="B3" s="5" t="s">
        <v>41</v>
      </c>
      <c r="C3" s="5" t="s">
        <v>42</v>
      </c>
      <c r="D3" s="5" t="s">
        <v>7</v>
      </c>
      <c r="E3" s="5" t="s">
        <v>43</v>
      </c>
      <c r="F3" s="5" t="s">
        <v>8</v>
      </c>
      <c r="G3" s="5" t="s">
        <v>9</v>
      </c>
      <c r="H3" s="5" t="s">
        <v>10</v>
      </c>
      <c r="I3" s="5" t="s">
        <v>11</v>
      </c>
      <c r="J3" s="5" t="s">
        <v>12</v>
      </c>
      <c r="K3" s="5" t="s">
        <v>13</v>
      </c>
      <c r="L3" s="5" t="s">
        <v>14</v>
      </c>
      <c r="M3" s="8" t="s">
        <v>52</v>
      </c>
    </row>
    <row r="4" spans="1:13" ht="15" thickTop="1" thickBot="1" x14ac:dyDescent="0.5">
      <c r="A4" s="5">
        <v>1.239615949983</v>
      </c>
      <c r="B4" s="5">
        <v>1000</v>
      </c>
      <c r="C4" s="5">
        <v>0</v>
      </c>
      <c r="D4" s="5">
        <v>-6.3195989550950604E-4</v>
      </c>
      <c r="E4" s="5">
        <v>-6.2474570652621997E-5</v>
      </c>
      <c r="F4" s="5">
        <v>25.039362931145</v>
      </c>
      <c r="G4" s="5">
        <v>1.4956922039333E-3</v>
      </c>
      <c r="H4" s="5">
        <v>3.7451179927570001E-2</v>
      </c>
      <c r="I4" s="5">
        <v>0</v>
      </c>
      <c r="J4" s="5">
        <v>0</v>
      </c>
      <c r="K4" s="5"/>
      <c r="L4" s="5"/>
      <c r="M4">
        <f t="shared" ref="M4:M24" si="0">D4*2.20462</f>
        <v>-1.393231424838167E-3</v>
      </c>
    </row>
    <row r="5" spans="1:13" ht="15" thickTop="1" thickBot="1" x14ac:dyDescent="0.5">
      <c r="A5" s="5">
        <v>115.79711419998</v>
      </c>
      <c r="B5" s="5">
        <v>1116</v>
      </c>
      <c r="C5" s="5">
        <v>1071.00000000004</v>
      </c>
      <c r="D5" s="5">
        <v>0.104318979799105</v>
      </c>
      <c r="E5" s="5">
        <v>1.9590122816129998E-2</v>
      </c>
      <c r="F5" s="5">
        <v>24.901328234238999</v>
      </c>
      <c r="G5" s="5">
        <v>0.29298516786256001</v>
      </c>
      <c r="H5" s="5">
        <v>7.2957198327092101</v>
      </c>
      <c r="I5" s="5">
        <v>2.1971274374181902</v>
      </c>
      <c r="J5" s="5">
        <v>30.115293456962402</v>
      </c>
      <c r="K5" s="5">
        <v>47.479712838909897</v>
      </c>
      <c r="L5" s="5">
        <v>14.2986548539608</v>
      </c>
      <c r="M5">
        <f t="shared" si="0"/>
        <v>0.22998370924470285</v>
      </c>
    </row>
    <row r="6" spans="1:13" ht="15" thickTop="1" thickBot="1" x14ac:dyDescent="0.5">
      <c r="A6" s="5">
        <v>110.72956959999</v>
      </c>
      <c r="B6" s="5">
        <v>1162</v>
      </c>
      <c r="C6" s="5">
        <v>1286.99999999997</v>
      </c>
      <c r="D6" s="5">
        <v>0.15864491439789299</v>
      </c>
      <c r="E6" s="5">
        <v>3.0859847491018999E-2</v>
      </c>
      <c r="F6" s="5">
        <v>24.890525278060998</v>
      </c>
      <c r="G6" s="5">
        <v>0.42507967178195</v>
      </c>
      <c r="H6" s="5">
        <v>10.580456315678401</v>
      </c>
      <c r="I6" s="5">
        <v>4.1591151102365904</v>
      </c>
      <c r="J6" s="5">
        <v>39.309411486095001</v>
      </c>
      <c r="K6" s="5">
        <v>38.143910469664398</v>
      </c>
      <c r="L6" s="5">
        <v>14.994146723408001</v>
      </c>
      <c r="M6">
        <f t="shared" si="0"/>
        <v>0.34975175117988283</v>
      </c>
    </row>
    <row r="7" spans="1:13" ht="15" thickTop="1" thickBot="1" x14ac:dyDescent="0.5">
      <c r="A7" s="5">
        <v>105.63203624998</v>
      </c>
      <c r="B7" s="5">
        <v>1209</v>
      </c>
      <c r="C7" s="5">
        <v>1534.00000000001</v>
      </c>
      <c r="D7" s="5">
        <v>0.232946299393054</v>
      </c>
      <c r="E7" s="5">
        <v>4.8496200807336999E-2</v>
      </c>
      <c r="F7" s="5">
        <v>24.877501600708001</v>
      </c>
      <c r="G7" s="5">
        <v>0.61999834172683999</v>
      </c>
      <c r="H7" s="5">
        <v>15.424009738745699</v>
      </c>
      <c r="I7" s="5">
        <v>7.7904347584418101</v>
      </c>
      <c r="J7" s="5">
        <v>50.508492216987598</v>
      </c>
      <c r="K7" s="5">
        <v>29.901578874097002</v>
      </c>
      <c r="L7" s="5">
        <v>15.1028366383796</v>
      </c>
      <c r="M7">
        <f t="shared" si="0"/>
        <v>0.51355807056791469</v>
      </c>
    </row>
    <row r="8" spans="1:13" ht="15" thickTop="1" thickBot="1" x14ac:dyDescent="0.5">
      <c r="A8" s="5">
        <v>100.47477429998</v>
      </c>
      <c r="B8" s="5">
        <v>1255</v>
      </c>
      <c r="C8" s="5">
        <v>1723.99999999996</v>
      </c>
      <c r="D8" s="5">
        <v>0.30198480122153798</v>
      </c>
      <c r="E8" s="5">
        <v>6.4683553461961002E-2</v>
      </c>
      <c r="F8" s="5">
        <v>24.862440017263999</v>
      </c>
      <c r="G8" s="5">
        <v>0.81614615149599001</v>
      </c>
      <c r="H8" s="5">
        <v>20.291384736889899</v>
      </c>
      <c r="I8" s="5">
        <v>11.6777654950612</v>
      </c>
      <c r="J8" s="5">
        <v>57.550362611926602</v>
      </c>
      <c r="K8" s="5">
        <v>25.859810367767</v>
      </c>
      <c r="L8" s="5">
        <v>14.8824146374065</v>
      </c>
      <c r="M8">
        <f t="shared" si="0"/>
        <v>0.66576173246902703</v>
      </c>
    </row>
    <row r="9" spans="1:13" ht="15" thickTop="1" thickBot="1" x14ac:dyDescent="0.5">
      <c r="A9" s="5">
        <v>95.399351399983999</v>
      </c>
      <c r="B9" s="5">
        <v>1302</v>
      </c>
      <c r="C9" s="5">
        <v>1915.00000000001</v>
      </c>
      <c r="D9" s="5">
        <v>0.37315067891166698</v>
      </c>
      <c r="E9" s="5">
        <v>7.6081426041774994E-2</v>
      </c>
      <c r="F9" s="5">
        <v>24.846073434179999</v>
      </c>
      <c r="G9" s="5">
        <v>1.0553277558172001</v>
      </c>
      <c r="H9" s="5">
        <v>26.220750918162501</v>
      </c>
      <c r="I9" s="5">
        <v>15.2572422026373</v>
      </c>
      <c r="J9" s="5">
        <v>58.187663085075599</v>
      </c>
      <c r="K9" s="5">
        <v>24.457282250337801</v>
      </c>
      <c r="L9" s="5">
        <v>14.231120995592599</v>
      </c>
      <c r="M9">
        <f t="shared" si="0"/>
        <v>0.82265544974223914</v>
      </c>
    </row>
    <row r="10" spans="1:13" ht="15" thickTop="1" thickBot="1" x14ac:dyDescent="0.5">
      <c r="A10" s="5">
        <v>90.246767749981004</v>
      </c>
      <c r="B10" s="5">
        <v>1348</v>
      </c>
      <c r="C10" s="5">
        <v>2098.00000000003</v>
      </c>
      <c r="D10" s="5">
        <v>0.446647132739518</v>
      </c>
      <c r="E10" s="5">
        <v>9.3042505147904006E-2</v>
      </c>
      <c r="F10" s="5">
        <v>24.829928970627002</v>
      </c>
      <c r="G10" s="5">
        <v>1.3027894602492001</v>
      </c>
      <c r="H10" s="5">
        <v>32.348169761669098</v>
      </c>
      <c r="I10" s="5">
        <v>20.441628768387901</v>
      </c>
      <c r="J10" s="5">
        <v>63.1925358343154</v>
      </c>
      <c r="K10" s="5">
        <v>21.849879860367899</v>
      </c>
      <c r="L10" s="5">
        <v>13.8074931605179</v>
      </c>
      <c r="M10">
        <f t="shared" si="0"/>
        <v>0.98468720178019609</v>
      </c>
    </row>
    <row r="11" spans="1:13" ht="15" thickTop="1" thickBot="1" x14ac:dyDescent="0.5">
      <c r="A11" s="5">
        <v>85.193908249984005</v>
      </c>
      <c r="B11" s="5">
        <v>1395</v>
      </c>
      <c r="C11" s="5">
        <v>2291.99999999999</v>
      </c>
      <c r="D11" s="5">
        <v>0.55088585217322905</v>
      </c>
      <c r="E11" s="5">
        <v>0.11390060748323</v>
      </c>
      <c r="F11" s="5">
        <v>24.807815341097001</v>
      </c>
      <c r="G11" s="5">
        <v>1.6684765605245999</v>
      </c>
      <c r="H11" s="5">
        <v>41.391258414442902</v>
      </c>
      <c r="I11" s="6">
        <v>27.338159414546901</v>
      </c>
      <c r="J11" s="6">
        <v>66.048147511764597</v>
      </c>
      <c r="K11" s="6">
        <v>20.150802540133501</v>
      </c>
      <c r="L11" s="6">
        <v>13.3092317865118</v>
      </c>
      <c r="M11">
        <f t="shared" si="0"/>
        <v>1.2144939674181441</v>
      </c>
    </row>
    <row r="12" spans="1:13" ht="15" thickTop="1" thickBot="1" x14ac:dyDescent="0.5">
      <c r="A12" s="5">
        <v>80.207455299982996</v>
      </c>
      <c r="B12" s="5">
        <v>1441</v>
      </c>
      <c r="C12" s="5">
        <v>2490.99999999997</v>
      </c>
      <c r="D12" s="5">
        <v>0.64746406533437995</v>
      </c>
      <c r="E12" s="5">
        <v>0.13501508928254999</v>
      </c>
      <c r="F12" s="5">
        <v>24.783126253858999</v>
      </c>
      <c r="G12" s="5">
        <v>2.0666372288093</v>
      </c>
      <c r="H12" s="5">
        <v>51.2177313625061</v>
      </c>
      <c r="I12" s="5">
        <v>35.219618994034597</v>
      </c>
      <c r="J12" s="5">
        <v>68.764504122134994</v>
      </c>
      <c r="K12" s="5">
        <v>18.383619239153202</v>
      </c>
      <c r="L12" s="5">
        <v>12.6414046095051</v>
      </c>
      <c r="M12">
        <f t="shared" si="0"/>
        <v>1.4274122277174806</v>
      </c>
    </row>
    <row r="13" spans="1:13" ht="15" thickTop="1" thickBot="1" x14ac:dyDescent="0.5">
      <c r="A13" s="5">
        <v>75.149114849979995</v>
      </c>
      <c r="B13" s="5">
        <v>1488</v>
      </c>
      <c r="C13" s="5">
        <v>2701.99999999999</v>
      </c>
      <c r="D13" s="5">
        <v>0.76713873075441597</v>
      </c>
      <c r="E13" s="5">
        <v>0.16164802173477</v>
      </c>
      <c r="F13" s="5">
        <v>24.753956667602999</v>
      </c>
      <c r="G13" s="5">
        <v>2.5571455292254002</v>
      </c>
      <c r="H13" s="5">
        <v>63.299469623200203</v>
      </c>
      <c r="I13" s="5">
        <v>45.738756861938</v>
      </c>
      <c r="J13" s="5">
        <v>72.257725276696505</v>
      </c>
      <c r="K13" s="5">
        <v>16.772181479921201</v>
      </c>
      <c r="L13" s="5">
        <v>12.119196816670399</v>
      </c>
      <c r="M13">
        <f t="shared" si="0"/>
        <v>1.6912493885958004</v>
      </c>
    </row>
    <row r="14" spans="1:13" ht="15" thickTop="1" thickBot="1" x14ac:dyDescent="0.5">
      <c r="A14" s="5">
        <v>70.143789749980996</v>
      </c>
      <c r="B14" s="5">
        <v>1535</v>
      </c>
      <c r="C14" s="5">
        <v>2904.99999999998</v>
      </c>
      <c r="D14" s="5">
        <v>0.89655853254540496</v>
      </c>
      <c r="E14" s="5">
        <v>0.18992925224303001</v>
      </c>
      <c r="F14" s="5">
        <v>24.717716284617001</v>
      </c>
      <c r="G14" s="5">
        <v>3.0999431894862002</v>
      </c>
      <c r="H14" s="5">
        <v>76.623516256150594</v>
      </c>
      <c r="I14" s="5">
        <v>57.778546600280002</v>
      </c>
      <c r="J14" s="5">
        <v>75.405762386481499</v>
      </c>
      <c r="K14" s="5">
        <v>15.5171527374671</v>
      </c>
      <c r="L14" s="5">
        <v>11.7008273223618</v>
      </c>
      <c r="M14">
        <f t="shared" si="0"/>
        <v>1.9765708720202506</v>
      </c>
    </row>
    <row r="15" spans="1:13" ht="15" thickTop="1" thickBot="1" x14ac:dyDescent="0.5">
      <c r="A15" s="5">
        <v>65.167302899983994</v>
      </c>
      <c r="B15" s="5">
        <v>1581</v>
      </c>
      <c r="C15" s="5">
        <v>3153.00000000002</v>
      </c>
      <c r="D15" s="5">
        <v>1.0643576450094501</v>
      </c>
      <c r="E15" s="5">
        <v>0.22870754911947</v>
      </c>
      <c r="F15" s="5">
        <v>24.673884038571</v>
      </c>
      <c r="G15" s="5">
        <v>3.9231941011532001</v>
      </c>
      <c r="H15" s="5">
        <v>96.800436312659798</v>
      </c>
      <c r="I15" s="5">
        <v>75.514975989710607</v>
      </c>
      <c r="J15" s="5">
        <v>78.010987208571706</v>
      </c>
      <c r="K15" s="5">
        <v>14.0946564712472</v>
      </c>
      <c r="L15" s="5">
        <v>10.995380656876801</v>
      </c>
      <c r="M15">
        <f t="shared" si="0"/>
        <v>2.3465041513407336</v>
      </c>
    </row>
    <row r="16" spans="1:13" ht="15" thickTop="1" thickBot="1" x14ac:dyDescent="0.5">
      <c r="A16" s="5">
        <v>60.190839749989003</v>
      </c>
      <c r="B16" s="5">
        <v>1628</v>
      </c>
      <c r="C16" s="5">
        <v>3336.99999999995</v>
      </c>
      <c r="D16" s="5">
        <v>1.18368792177226</v>
      </c>
      <c r="E16" s="5">
        <v>0.25225786836469999</v>
      </c>
      <c r="F16" s="5">
        <v>24.640226976489998</v>
      </c>
      <c r="G16" s="5">
        <v>4.5394128273448002</v>
      </c>
      <c r="H16" s="5">
        <v>111.85216240576599</v>
      </c>
      <c r="I16" s="5">
        <v>88.1514674086025</v>
      </c>
      <c r="J16" s="5">
        <v>78.810695754647497</v>
      </c>
      <c r="K16" s="5">
        <v>13.4278867563894</v>
      </c>
      <c r="L16" s="5">
        <v>10.5826109778566</v>
      </c>
      <c r="M16">
        <f t="shared" si="0"/>
        <v>2.6095820660975595</v>
      </c>
    </row>
    <row r="17" spans="1:17" ht="15" thickTop="1" thickBot="1" x14ac:dyDescent="0.5">
      <c r="A17" s="5">
        <v>54.926124249986003</v>
      </c>
      <c r="B17" s="5">
        <v>1674</v>
      </c>
      <c r="C17" s="5">
        <v>3508.00000000003</v>
      </c>
      <c r="D17" s="5">
        <v>1.3256454153653801</v>
      </c>
      <c r="E17" s="5">
        <v>0.28079031132985999</v>
      </c>
      <c r="F17" s="5">
        <v>24.600456986023001</v>
      </c>
      <c r="G17" s="5">
        <v>5.2949487494765997</v>
      </c>
      <c r="H17" s="5">
        <v>130.25815895469501</v>
      </c>
      <c r="I17" s="5">
        <v>103.150258589666</v>
      </c>
      <c r="J17" s="5">
        <v>79.189096036235696</v>
      </c>
      <c r="K17" s="5">
        <v>12.8515956575429</v>
      </c>
      <c r="L17" s="5">
        <v>10.177062427440401</v>
      </c>
      <c r="M17">
        <f t="shared" si="0"/>
        <v>2.9225443956228241</v>
      </c>
    </row>
    <row r="18" spans="1:17" ht="15" thickTop="1" thickBot="1" x14ac:dyDescent="0.5">
      <c r="A18" s="5">
        <v>49.943115399980996</v>
      </c>
      <c r="B18" s="5">
        <v>1721</v>
      </c>
      <c r="C18" s="5">
        <v>3683.00000000002</v>
      </c>
      <c r="D18" s="5">
        <v>1.47082618435653</v>
      </c>
      <c r="E18" s="5">
        <v>0.31024387792740998</v>
      </c>
      <c r="F18" s="5">
        <v>24.560562450955</v>
      </c>
      <c r="G18" s="5">
        <v>6.0926695862704001</v>
      </c>
      <c r="H18" s="5">
        <v>149.63939186662799</v>
      </c>
      <c r="I18" s="5">
        <v>119.65574554884201</v>
      </c>
      <c r="J18" s="5">
        <v>79.962731775527402</v>
      </c>
      <c r="K18" s="5">
        <v>12.2921484263883</v>
      </c>
      <c r="L18" s="5">
        <v>9.82913767564267</v>
      </c>
      <c r="M18">
        <f t="shared" si="0"/>
        <v>3.2426128225560928</v>
      </c>
    </row>
    <row r="19" spans="1:17" ht="15" thickTop="1" thickBot="1" x14ac:dyDescent="0.5">
      <c r="A19" s="5">
        <v>44.967336449987997</v>
      </c>
      <c r="B19" s="5">
        <v>1767</v>
      </c>
      <c r="C19" s="5">
        <v>3865.99999999995</v>
      </c>
      <c r="D19" s="5">
        <v>1.6044947532634399</v>
      </c>
      <c r="E19" s="5">
        <v>0.34012203807980002</v>
      </c>
      <c r="F19" s="5">
        <v>24.518945085028999</v>
      </c>
      <c r="G19" s="5">
        <v>6.8856159312580996</v>
      </c>
      <c r="H19" s="5">
        <v>168.828038895118</v>
      </c>
      <c r="I19" s="5">
        <v>137.69724161790199</v>
      </c>
      <c r="J19" s="5">
        <v>81.560647460606006</v>
      </c>
      <c r="K19" s="5">
        <v>11.6523376533262</v>
      </c>
      <c r="L19" s="5">
        <v>9.5037220343489004</v>
      </c>
      <c r="M19">
        <f t="shared" si="0"/>
        <v>3.5373012229396448</v>
      </c>
    </row>
    <row r="20" spans="1:17" ht="15" thickTop="1" thickBot="1" x14ac:dyDescent="0.5">
      <c r="A20" s="5">
        <v>39.980454899991003</v>
      </c>
      <c r="B20" s="5">
        <v>1814</v>
      </c>
      <c r="C20" s="5">
        <v>4046.99999999997</v>
      </c>
      <c r="D20" s="5">
        <v>1.7509010017762401</v>
      </c>
      <c r="E20" s="5">
        <v>0.37217644405407002</v>
      </c>
      <c r="F20" s="5">
        <v>24.477328423421</v>
      </c>
      <c r="G20" s="5">
        <v>7.8348727479878999</v>
      </c>
      <c r="H20" s="5">
        <v>191.77675340821</v>
      </c>
      <c r="I20" s="5">
        <v>157.72869295647499</v>
      </c>
      <c r="J20" s="5">
        <v>82.245991838613506</v>
      </c>
      <c r="K20" s="5">
        <v>11.100713313204199</v>
      </c>
      <c r="L20" s="5">
        <v>9.12989176560583</v>
      </c>
      <c r="M20">
        <f t="shared" si="0"/>
        <v>3.8600713665359341</v>
      </c>
    </row>
    <row r="21" spans="1:17" ht="15" thickTop="1" thickBot="1" x14ac:dyDescent="0.5">
      <c r="A21" s="5">
        <v>34.947482049984998</v>
      </c>
      <c r="B21" s="5">
        <v>1860</v>
      </c>
      <c r="C21" s="5">
        <v>4211.00000000002</v>
      </c>
      <c r="D21" s="5">
        <v>1.91524497907012</v>
      </c>
      <c r="E21" s="5">
        <v>0.40663400203423999</v>
      </c>
      <c r="F21" s="5">
        <v>24.435674793202001</v>
      </c>
      <c r="G21" s="5">
        <v>8.8500664179347002</v>
      </c>
      <c r="H21" s="5">
        <v>216.25734488689</v>
      </c>
      <c r="I21" s="5">
        <v>179.315383832962</v>
      </c>
      <c r="J21" s="5">
        <v>82.917592429866602</v>
      </c>
      <c r="K21" s="5">
        <v>10.680873766269899</v>
      </c>
      <c r="L21" s="5">
        <v>8.8563233774642605</v>
      </c>
      <c r="M21">
        <f t="shared" si="0"/>
        <v>4.2223873857575676</v>
      </c>
    </row>
    <row r="22" spans="1:17" ht="15" thickTop="1" thickBot="1" x14ac:dyDescent="0.5">
      <c r="A22" s="5">
        <v>29.962885999984</v>
      </c>
      <c r="B22" s="5">
        <v>1907</v>
      </c>
      <c r="C22" s="5">
        <v>4390.00000000003</v>
      </c>
      <c r="D22" s="5">
        <v>2.0607805962527399</v>
      </c>
      <c r="E22" s="5">
        <v>0.44247486586808998</v>
      </c>
      <c r="F22" s="5">
        <v>24.393527536633002</v>
      </c>
      <c r="G22" s="5">
        <v>9.9695677978684003</v>
      </c>
      <c r="H22" s="5">
        <v>243.19292660563201</v>
      </c>
      <c r="I22" s="5">
        <v>203.41442364536499</v>
      </c>
      <c r="J22" s="5">
        <v>83.643231932985898</v>
      </c>
      <c r="K22" s="5">
        <v>10.130946268812901</v>
      </c>
      <c r="L22" s="5">
        <v>8.4738508846293801</v>
      </c>
      <c r="M22">
        <f t="shared" si="0"/>
        <v>4.5432381181107147</v>
      </c>
    </row>
    <row r="23" spans="1:17" ht="15" thickTop="1" thickBot="1" x14ac:dyDescent="0.5">
      <c r="A23" s="5">
        <v>24.944301449985002</v>
      </c>
      <c r="B23" s="5">
        <v>1953</v>
      </c>
      <c r="C23" s="5">
        <v>4560.00000000001</v>
      </c>
      <c r="D23" s="5">
        <v>2.2328719849421499</v>
      </c>
      <c r="E23" s="5">
        <v>0.47471843348096998</v>
      </c>
      <c r="F23" s="5">
        <v>24.360021544651001</v>
      </c>
      <c r="G23" s="5">
        <v>11.050588148157001</v>
      </c>
      <c r="H23" s="5">
        <v>269.19256537016901</v>
      </c>
      <c r="I23" s="5">
        <v>226.688535358416</v>
      </c>
      <c r="J23" s="5">
        <v>84.2105483287379</v>
      </c>
      <c r="K23" s="5">
        <v>9.8499554969190299</v>
      </c>
      <c r="L23" s="5">
        <v>8.2947015340921801</v>
      </c>
      <c r="M23">
        <f t="shared" si="0"/>
        <v>4.9226342354431623</v>
      </c>
    </row>
    <row r="24" spans="1:17" ht="15" thickTop="1" thickBot="1" x14ac:dyDescent="0.5">
      <c r="A24" s="5">
        <v>19.919957599985999</v>
      </c>
      <c r="B24" s="5">
        <v>2000</v>
      </c>
      <c r="C24" s="5">
        <v>4806.99999999995</v>
      </c>
      <c r="D24" s="5">
        <v>2.4984323260891301</v>
      </c>
      <c r="E24" s="5">
        <v>0.53463039981947003</v>
      </c>
      <c r="F24" s="5">
        <v>24.297398657235</v>
      </c>
      <c r="G24" s="5">
        <v>12.972865173588</v>
      </c>
      <c r="H24" s="5">
        <v>315.206876849227</v>
      </c>
      <c r="I24" s="5">
        <v>269.12645438521702</v>
      </c>
      <c r="J24" s="5">
        <v>85.3808955805072</v>
      </c>
      <c r="K24" s="5">
        <v>9.2834884322184497</v>
      </c>
      <c r="L24" s="5">
        <v>7.9263255645409103</v>
      </c>
      <c r="M24">
        <f t="shared" si="0"/>
        <v>5.5080938747426176</v>
      </c>
    </row>
    <row r="25" spans="1:17" ht="15" thickTop="1" thickBot="1" x14ac:dyDescent="0.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7" ht="15" thickTop="1" thickBot="1" x14ac:dyDescent="0.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7" ht="15" thickTop="1" thickBot="1" x14ac:dyDescent="0.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7" ht="15" thickTop="1" thickBot="1" x14ac:dyDescent="0.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1:17" ht="14.65" thickTop="1" x14ac:dyDescent="0.45"/>
    <row r="30" spans="1:17" ht="14.65" thickBot="1" x14ac:dyDescent="0.5">
      <c r="I30" s="100" t="s">
        <v>32</v>
      </c>
      <c r="J30" s="101"/>
      <c r="K30" s="101"/>
      <c r="L30" s="101"/>
      <c r="M30" s="101"/>
      <c r="N30" s="101"/>
      <c r="O30" s="101"/>
      <c r="P30" s="101"/>
      <c r="Q30" s="101"/>
    </row>
    <row r="31" spans="1:17" ht="15" thickTop="1" thickBot="1" x14ac:dyDescent="0.5">
      <c r="I31" s="5" t="s">
        <v>18</v>
      </c>
      <c r="J31" s="5" t="s">
        <v>15</v>
      </c>
      <c r="K31" s="5" t="s">
        <v>17</v>
      </c>
      <c r="L31" s="5" t="s">
        <v>19</v>
      </c>
      <c r="M31" s="5" t="s">
        <v>22</v>
      </c>
      <c r="N31" s="5" t="s">
        <v>20</v>
      </c>
      <c r="O31" s="5" t="s">
        <v>21</v>
      </c>
      <c r="P31" s="5" t="s">
        <v>44</v>
      </c>
      <c r="Q31" s="5" t="s">
        <v>45</v>
      </c>
    </row>
    <row r="32" spans="1:17" ht="15" thickTop="1" thickBot="1" x14ac:dyDescent="0.5">
      <c r="I32" s="5">
        <v>15</v>
      </c>
      <c r="J32" s="5">
        <f>'Important Info'!H4</f>
        <v>11.119047619047619</v>
      </c>
      <c r="K32" s="5" cm="1">
        <f t="array" ref="K32">ROUND(interpolate_for_x($C$4:$C$28,$D$4:$D$28,J32/9.807), 1)</f>
        <v>3262.5</v>
      </c>
      <c r="L32" s="5" cm="1">
        <f t="array" ref="L32">ROUND(interpolate_for_y($C$4:$C$28, $F$4:$F$28, K32), 1)</f>
        <v>24.7</v>
      </c>
      <c r="M32" s="5" cm="1">
        <f t="array" ref="M32">ROUND(interpolate_for_y($C$4:$C$28, $G$4:$G$28, K32), 2)</f>
        <v>4.2699999999999996</v>
      </c>
      <c r="N32" s="5" cm="1">
        <f t="array" ref="N32">ROUND(interpolate_for_y($C$4:$C$28, $H$4:$H$28, K32), 2)</f>
        <v>105.39</v>
      </c>
      <c r="O32" s="5" cm="1">
        <f t="array" ref="O32">ROUND(interpolate_for_y($C$4:$C$28,$I$4:$I$28, K32), 2)</f>
        <v>82.81</v>
      </c>
      <c r="P32" s="5">
        <f>N32*6</f>
        <v>632.34</v>
      </c>
      <c r="Q32" s="5">
        <f>O32*6</f>
        <v>496.86</v>
      </c>
    </row>
    <row r="33" spans="9:17" ht="15" thickTop="1" thickBot="1" x14ac:dyDescent="0.5">
      <c r="I33" s="5">
        <v>20</v>
      </c>
      <c r="J33" s="5">
        <f>'Important Info'!H5</f>
        <v>14.825396825396824</v>
      </c>
      <c r="K33" s="5" cm="1">
        <f t="array" ref="K33">ROUND(interpolate_for_x($C$4:$C$28,$D$4:$D$28,J33/9.807), 1)</f>
        <v>3737.9</v>
      </c>
      <c r="L33" s="5" cm="1">
        <f t="array" ref="L33">ROUND(interpolate_for_y($C$4:$C$28, $F$4:$F$28, K33), 1)</f>
        <v>24.5</v>
      </c>
      <c r="M33" s="5" cm="1">
        <f t="array" ref="M33">ROUND(interpolate_for_y($C$4:$C$28, $G$4:$G$28, K33), 2)</f>
        <v>6.33</v>
      </c>
      <c r="N33" s="5" cm="1">
        <f t="array" ref="N33">ROUND(interpolate_for_y($C$4:$C$28, $H$4:$H$28, K33), 2)</f>
        <v>155.32</v>
      </c>
      <c r="O33" s="5" cm="1">
        <f t="array" ref="O33">ROUND(interpolate_for_y($C$4:$C$28,$I$4:$I$28, K33), 2)</f>
        <v>124.95</v>
      </c>
      <c r="P33" s="5">
        <f t="shared" ref="P33:Q36" si="1">N33*6</f>
        <v>931.92</v>
      </c>
      <c r="Q33" s="5">
        <f t="shared" si="1"/>
        <v>749.7</v>
      </c>
    </row>
    <row r="34" spans="9:17" ht="15" thickTop="1" thickBot="1" x14ac:dyDescent="0.5">
      <c r="I34" s="7">
        <v>25</v>
      </c>
      <c r="J34" s="7">
        <f>'Important Info'!H6</f>
        <v>18.531746031746032</v>
      </c>
      <c r="K34" s="7" cm="1">
        <f t="array" ref="K34">ROUND(interpolate_for_x($C$4:$C$28,$D$4:$D$28,J34/9.807), 1)</f>
        <v>4183.3999999999996</v>
      </c>
      <c r="L34" s="7" cm="1">
        <f t="array" ref="L34">ROUND(interpolate_for_y($C$4:$C$28, $F$4:$F$28, K34), 1)</f>
        <v>24.4</v>
      </c>
      <c r="M34" s="7" cm="1">
        <f t="array" ref="M34">ROUND(interpolate_for_y($C$4:$C$28, $G$4:$G$28, K34), 2)</f>
        <v>8.68</v>
      </c>
      <c r="N34" s="7" cm="1">
        <f t="array" ref="N34">ROUND(interpolate_for_y($C$4:$C$28, $H$4:$H$28, K34), 2)</f>
        <v>212.05</v>
      </c>
      <c r="O34" s="7" cm="1">
        <f t="array" ref="O34">ROUND(interpolate_for_y($C$4:$C$28,$I$4:$I$28, K34), 2)</f>
        <v>175.57</v>
      </c>
      <c r="P34" s="7">
        <f t="shared" si="1"/>
        <v>1272.3000000000002</v>
      </c>
      <c r="Q34" s="7">
        <f t="shared" si="1"/>
        <v>1053.42</v>
      </c>
    </row>
    <row r="35" spans="9:17" ht="15" thickTop="1" thickBot="1" x14ac:dyDescent="0.5">
      <c r="I35" s="5">
        <v>30</v>
      </c>
      <c r="J35" s="5">
        <f>'Important Info'!H7</f>
        <v>22.238095238095237</v>
      </c>
      <c r="K35" s="5" cm="1">
        <f t="array" ref="K35">ROUND(interpolate_for_x($C$4:$C$28,$D$4:$D$28,J35/9.807), 1)</f>
        <v>4589.7</v>
      </c>
      <c r="L35" s="5" cm="1">
        <f t="array" ref="L35">ROUND(interpolate_for_y($C$4:$C$28, $F$4:$F$28, K35), 1)</f>
        <v>24.4</v>
      </c>
      <c r="M35" s="5" cm="1">
        <f t="array" ref="M35">ROUND(interpolate_for_y($C$4:$C$28, $G$4:$G$28, K35), 2)</f>
        <v>11.25</v>
      </c>
      <c r="N35" s="5" cm="1">
        <f t="array" ref="N35">ROUND(interpolate_for_y($C$4:$C$28, $H$4:$H$28, K35), 2)</f>
        <v>274.02999999999997</v>
      </c>
      <c r="O35" s="5" cm="1">
        <f t="array" ref="O35">ROUND(interpolate_for_y($C$4:$C$28,$I$4:$I$28, K35), 2)</f>
        <v>231.05</v>
      </c>
      <c r="P35" s="5">
        <f t="shared" si="1"/>
        <v>1644.1799999999998</v>
      </c>
      <c r="Q35" s="5">
        <f t="shared" si="1"/>
        <v>1386.3000000000002</v>
      </c>
    </row>
    <row r="36" spans="9:17" ht="15" thickTop="1" thickBot="1" x14ac:dyDescent="0.5">
      <c r="I36" s="5">
        <v>35</v>
      </c>
      <c r="J36" s="5">
        <f>'Important Info'!H8</f>
        <v>25.944444444444443</v>
      </c>
      <c r="K36" s="5" cm="1">
        <f t="array" ref="K36">ROUND(interpolate_for_x($C$4:$C$28,$D$4:$D$28,J36/9.807), 1)</f>
        <v>5014.3</v>
      </c>
      <c r="L36" s="5" cm="1">
        <f t="array" ref="L36">ROUND(interpolate_for_y($C$4:$C$28, $F$4:$F$28, K36), 1)</f>
        <v>24.2</v>
      </c>
      <c r="M36" s="5" cm="1">
        <f t="array" ref="M36">ROUND(interpolate_for_y($C$4:$C$28, $G$4:$G$28, K36), 2)</f>
        <v>15.26</v>
      </c>
      <c r="N36" s="5" cm="1">
        <f t="array" ref="N36">ROUND(interpolate_for_y($C$4:$C$28, $H$4:$H$28, K36), 2)</f>
        <v>369.66</v>
      </c>
      <c r="O36" s="5" cm="1">
        <f t="array" ref="O36">ROUND(interpolate_for_y($C$4:$C$28,$I$4:$I$28, K36), 2)</f>
        <v>321.64</v>
      </c>
      <c r="P36" s="5">
        <f t="shared" si="1"/>
        <v>2217.96</v>
      </c>
      <c r="Q36" s="5">
        <f t="shared" si="1"/>
        <v>1929.84</v>
      </c>
    </row>
    <row r="37" spans="9:17" ht="15" thickTop="1" thickBot="1" x14ac:dyDescent="0.5"/>
    <row r="38" spans="9:17" ht="15" thickTop="1" thickBot="1" x14ac:dyDescent="0.5">
      <c r="I38" s="95" t="s">
        <v>34</v>
      </c>
      <c r="J38" s="96"/>
      <c r="K38" s="96"/>
      <c r="L38" s="96"/>
      <c r="M38" s="96"/>
      <c r="N38" s="96"/>
      <c r="O38" s="96"/>
      <c r="P38" s="96"/>
      <c r="Q38" s="97"/>
    </row>
    <row r="39" spans="9:17" ht="15" thickTop="1" thickBot="1" x14ac:dyDescent="0.5">
      <c r="I39" s="5" t="s">
        <v>18</v>
      </c>
      <c r="J39" s="5" t="s">
        <v>15</v>
      </c>
      <c r="K39" s="5" t="s">
        <v>17</v>
      </c>
      <c r="L39" s="5" t="s">
        <v>19</v>
      </c>
      <c r="M39" s="5" t="s">
        <v>22</v>
      </c>
      <c r="N39" s="5" t="s">
        <v>20</v>
      </c>
      <c r="O39" s="5" t="s">
        <v>21</v>
      </c>
      <c r="P39" s="5" t="s">
        <v>44</v>
      </c>
      <c r="Q39" s="5" t="s">
        <v>45</v>
      </c>
    </row>
    <row r="40" spans="9:17" ht="15" thickTop="1" thickBot="1" x14ac:dyDescent="0.5">
      <c r="I40" s="5">
        <v>15</v>
      </c>
      <c r="J40" s="5">
        <f>'Important Info'!J4</f>
        <v>16.678571428571427</v>
      </c>
      <c r="K40" s="5" cm="1">
        <f t="array" ref="K40">interpolate_for_x($C$4:$C$28,$D$4:$D$28,J40/9.807)</f>
        <v>3990.1240455237098</v>
      </c>
      <c r="L40" s="5" cm="1">
        <f t="array" ref="L40">interpolate_for_y($C$4:$C$28, $F$4:$F$28, K40)</f>
        <v>24.490826701358781</v>
      </c>
      <c r="M40" s="5" cm="1">
        <f t="array" ref="M40">interpolate_for_y($C$4:$C$28, $G$4:$G$28, K40)</f>
        <v>7.5129106556038767</v>
      </c>
      <c r="N40" s="5" cm="1">
        <f t="array" ref="N40">interpolate_for_y($C$4:$C$28, $H$4:$H$28, K40)</f>
        <v>183.99772771236849</v>
      </c>
      <c r="O40" s="5" cm="1">
        <f t="array" ref="O40">interpolate_for_y($C$4:$C$28,$I$4:$I$28, K40)</f>
        <v>151.01426564267794</v>
      </c>
      <c r="P40" s="5">
        <f>N40*4</f>
        <v>735.99091084947395</v>
      </c>
      <c r="Q40" s="5">
        <f>O40*4</f>
        <v>604.05706257071176</v>
      </c>
    </row>
    <row r="41" spans="9:17" ht="15" thickTop="1" thickBot="1" x14ac:dyDescent="0.5">
      <c r="I41" s="5">
        <v>20</v>
      </c>
      <c r="J41" s="5">
        <f>'Important Info'!J5</f>
        <v>22.238095238095237</v>
      </c>
      <c r="K41" s="5" cm="1">
        <f t="array" ref="K41">interpolate_for_x($C$4:$C$28,$D$4:$D$28,J41/9.807)</f>
        <v>4589.6681829000117</v>
      </c>
      <c r="L41" s="5" cm="1">
        <f t="array" ref="L41">interpolate_for_y($C$4:$C$28, $F$4:$F$28, K41)</f>
        <v>24.354044017062481</v>
      </c>
      <c r="M41" s="5" cm="1">
        <f t="array" ref="M41">interpolate_for_y($C$4:$C$28, $G$4:$G$28, K41)</f>
        <v>11.251665908949924</v>
      </c>
      <c r="N41" s="5" cm="1">
        <f t="array" ref="N41">interpolate_for_y($C$4:$C$28, $H$4:$H$28, K41)</f>
        <v>274.02193545844852</v>
      </c>
      <c r="O41" s="5" cm="1">
        <f t="array" ref="O41">interpolate_for_y($C$4:$C$28,$I$4:$I$28, K41)</f>
        <v>231.04883026996217</v>
      </c>
      <c r="P41" s="5">
        <f t="shared" ref="P41:P44" si="2">N41*4</f>
        <v>1096.0877418337941</v>
      </c>
      <c r="Q41" s="5">
        <f t="shared" ref="Q41:Q44" si="3">O41*4</f>
        <v>924.19532107984867</v>
      </c>
    </row>
    <row r="42" spans="9:17" ht="15" thickTop="1" thickBot="1" x14ac:dyDescent="0.5">
      <c r="I42" s="7">
        <v>25</v>
      </c>
      <c r="J42" s="7">
        <f>'Important Info'!J6</f>
        <v>27.797619047619047</v>
      </c>
      <c r="K42" s="7" cm="1">
        <f t="array" ref="K42">interpolate_for_x($C$4:$C$28,$D$4:$D$28,J42/9.807)</f>
        <v>5438.9011887449233</v>
      </c>
      <c r="L42" s="7" cm="1">
        <f t="array" ref="L42">interpolate_for_y($C$4:$C$28, $F$4:$F$28, K42)</f>
        <v>23.758105045240889</v>
      </c>
      <c r="M42" s="7" cm="1">
        <f t="array" ref="M42">interpolate_for_y($C$4:$C$28, $G$4:$G$28, K42)</f>
        <v>23.317378378118541</v>
      </c>
      <c r="N42" s="7" cm="1">
        <f t="array" ref="N42">interpolate_for_y($C$4:$C$28, $H$4:$H$28, K42)</f>
        <v>559.63912688460618</v>
      </c>
      <c r="O42" s="7" cm="1">
        <f t="array" ref="O42">interpolate_for_y($C$4:$C$28,$I$4:$I$28, K42)</f>
        <v>513.48398164717867</v>
      </c>
      <c r="P42" s="7">
        <f t="shared" si="2"/>
        <v>2238.5565075384247</v>
      </c>
      <c r="Q42" s="7">
        <f t="shared" si="3"/>
        <v>2053.9359265887147</v>
      </c>
    </row>
    <row r="43" spans="9:17" ht="15" thickTop="1" thickBot="1" x14ac:dyDescent="0.5">
      <c r="I43" s="5">
        <v>30</v>
      </c>
      <c r="J43" s="5">
        <f>'Important Info'!J7</f>
        <v>33.357142857142854</v>
      </c>
      <c r="K43" s="5" cm="1">
        <f t="array" ref="K43">interpolate_for_x($C$4:$C$28,$D$4:$D$28,J43/9.807)</f>
        <v>8636.7409772841056</v>
      </c>
      <c r="L43" s="5" cm="1">
        <f t="array" ref="L43">interpolate_for_y($C$4:$C$28, $F$4:$F$28, K43)</f>
        <v>-13.378137815397736</v>
      </c>
      <c r="M43" s="5" cm="1">
        <f t="array" ref="M43">interpolate_for_y($C$4:$C$28, $G$4:$G$28, K43)</f>
        <v>497.9478917688017</v>
      </c>
      <c r="N43" s="5" cm="1">
        <f t="array" ref="N43">interpolate_for_y($C$4:$C$28, $H$4:$H$28, K43)</f>
        <v>11643.808422198159</v>
      </c>
      <c r="O43" s="5" cm="1">
        <f t="array" ref="O43">interpolate_for_y($C$4:$C$28,$I$4:$I$28, K43)</f>
        <v>12397.863737081047</v>
      </c>
      <c r="P43" s="5">
        <f t="shared" si="2"/>
        <v>46575.233688792636</v>
      </c>
      <c r="Q43" s="5">
        <f t="shared" si="3"/>
        <v>49591.454948324186</v>
      </c>
    </row>
    <row r="44" spans="9:17" ht="15" thickTop="1" thickBot="1" x14ac:dyDescent="0.5">
      <c r="I44" s="5">
        <v>35</v>
      </c>
      <c r="J44" s="5">
        <f>'Important Info'!J8</f>
        <v>38.916666666666664</v>
      </c>
      <c r="K44" s="5" cm="1">
        <f t="array" ref="K44">interpolate_for_x($C$4:$C$28,$D$4:$D$28,J44/9.807)</f>
        <v>16601.46507341868</v>
      </c>
      <c r="L44" s="5" cm="1">
        <f t="array" ref="L44">interpolate_for_y($C$4:$C$28, $F$4:$F$28, K44)</f>
        <v>-902.72088575964085</v>
      </c>
      <c r="M44" s="5" cm="1">
        <f t="array" ref="M44">interpolate_for_y($C$4:$C$28, $G$4:$G$28, K44)</f>
        <v>11101.315604291598</v>
      </c>
      <c r="N44" s="5" cm="1">
        <f t="array" ref="N44">interpolate_for_y($C$4:$C$28, $H$4:$H$28, K44)</f>
        <v>258867.35706689535</v>
      </c>
      <c r="O44" s="5" cm="1">
        <f t="array" ref="O44">interpolate_for_y($C$4:$C$28,$I$4:$I$28, K44)</f>
        <v>280037.95240214025</v>
      </c>
      <c r="P44" s="5">
        <f t="shared" si="2"/>
        <v>1035469.4282675814</v>
      </c>
      <c r="Q44" s="5">
        <f t="shared" si="3"/>
        <v>1120151.809608561</v>
      </c>
    </row>
    <row r="45" spans="9:17" ht="15" thickTop="1" thickBot="1" x14ac:dyDescent="0.5"/>
    <row r="46" spans="9:17" ht="15" thickTop="1" thickBot="1" x14ac:dyDescent="0.5">
      <c r="I46" s="95" t="s">
        <v>40</v>
      </c>
      <c r="J46" s="96"/>
      <c r="K46" s="96"/>
      <c r="L46" s="96"/>
      <c r="M46" s="96"/>
      <c r="N46" s="96"/>
      <c r="O46" s="96"/>
      <c r="P46" s="96"/>
      <c r="Q46" s="97"/>
    </row>
    <row r="47" spans="9:17" ht="15" thickTop="1" thickBot="1" x14ac:dyDescent="0.5">
      <c r="I47" s="5" t="s">
        <v>18</v>
      </c>
      <c r="J47" s="5" t="s">
        <v>15</v>
      </c>
      <c r="K47" s="5" t="s">
        <v>17</v>
      </c>
      <c r="L47" s="5" t="s">
        <v>19</v>
      </c>
      <c r="M47" s="5" t="s">
        <v>22</v>
      </c>
      <c r="N47" s="5" t="s">
        <v>20</v>
      </c>
      <c r="O47" s="5" t="s">
        <v>21</v>
      </c>
      <c r="P47" s="5" t="s">
        <v>44</v>
      </c>
      <c r="Q47" s="5" t="s">
        <v>45</v>
      </c>
    </row>
    <row r="48" spans="9:17" ht="15" thickTop="1" thickBot="1" x14ac:dyDescent="0.5">
      <c r="I48" s="5">
        <v>15</v>
      </c>
      <c r="J48" s="5">
        <f>'Important Info'!L4</f>
        <v>8.3392857142857135</v>
      </c>
      <c r="K48" s="5" cm="1">
        <f t="array" ref="K48">interpolate_for_x($C$4:$C$28,$D$4:$D$28,J48/9.807)</f>
        <v>2834.4703116452547</v>
      </c>
      <c r="L48" s="5" cm="1">
        <f t="array" ref="L48">interpolate_for_y($C$4:$C$28, $F$4:$F$28, K48)</f>
        <v>24.730764755037725</v>
      </c>
      <c r="M48" s="5" cm="1">
        <f t="array" ref="M48">interpolate_for_y($C$4:$C$28, $G$4:$G$28, K48)</f>
        <v>2.8968881543100995</v>
      </c>
      <c r="N48" s="5" cm="1">
        <f t="array" ref="N48">interpolate_for_y($C$4:$C$28, $H$4:$H$28, K48)</f>
        <v>71.642478886283968</v>
      </c>
      <c r="O48" s="5" cm="1">
        <f t="array" ref="O48">interpolate_for_y($C$4:$C$28,$I$4:$I$28, K48)</f>
        <v>53.283691801801091</v>
      </c>
      <c r="P48" s="5">
        <f>N48*8</f>
        <v>573.13983109027174</v>
      </c>
      <c r="Q48" s="5">
        <f>O48*8</f>
        <v>426.26953441440872</v>
      </c>
    </row>
    <row r="49" spans="9:17" ht="15" thickTop="1" thickBot="1" x14ac:dyDescent="0.5">
      <c r="I49" s="5">
        <v>20</v>
      </c>
      <c r="J49" s="5">
        <f>'Important Info'!L5</f>
        <v>11.119047619047619</v>
      </c>
      <c r="K49" s="5" cm="1">
        <f t="array" ref="K49">interpolate_for_x($C$4:$C$28,$D$4:$D$28,J49/9.807)</f>
        <v>3262.5378913095142</v>
      </c>
      <c r="L49" s="5" cm="1">
        <f t="array" ref="L49">interpolate_for_y($C$4:$C$28, $F$4:$F$28, K49)</f>
        <v>24.654795753317224</v>
      </c>
      <c r="M49" s="5" cm="1">
        <f t="array" ref="M49">interpolate_for_y($C$4:$C$28, $G$4:$G$28, K49)</f>
        <v>4.2748059445590556</v>
      </c>
      <c r="N49" s="5" cm="1">
        <f t="array" ref="N49">interpolate_for_y($C$4:$C$28, $H$4:$H$28, K49)</f>
        <v>105.39555031004394</v>
      </c>
      <c r="O49" s="5" cm="1">
        <f t="array" ref="O49">interpolate_for_y($C$4:$C$28,$I$4:$I$28, K49)</f>
        <v>82.809505322685652</v>
      </c>
      <c r="P49" s="5">
        <f t="shared" ref="P49:P52" si="4">N49*8</f>
        <v>843.16440248035155</v>
      </c>
      <c r="Q49" s="5">
        <f t="shared" ref="Q49:Q52" si="5">O49*8</f>
        <v>662.47604258148522</v>
      </c>
    </row>
    <row r="50" spans="9:17" ht="15" thickTop="1" thickBot="1" x14ac:dyDescent="0.5">
      <c r="I50" s="7">
        <v>25</v>
      </c>
      <c r="J50" s="7">
        <f>'Important Info'!L6</f>
        <v>13.898809523809524</v>
      </c>
      <c r="K50" s="7" cm="1">
        <f t="array" ref="K50">interpolate_for_x($C$4:$C$28,$D$4:$D$28,J50/9.807)</f>
        <v>3615.2022439247307</v>
      </c>
      <c r="L50" s="7" cm="1">
        <f t="array" ref="L50">interpolate_for_y($C$4:$C$28, $F$4:$F$28, K50)</f>
        <v>24.575833759742611</v>
      </c>
      <c r="M50" s="7" cm="1">
        <f t="array" ref="M50">interpolate_for_y($C$4:$C$28, $G$4:$G$28, K50)</f>
        <v>5.7911126787089788</v>
      </c>
      <c r="N50" s="7" cm="1">
        <f t="array" ref="N50">interpolate_for_y($C$4:$C$28, $H$4:$H$28, K50)</f>
        <v>142.32167071895262</v>
      </c>
      <c r="O50" s="7" cm="1">
        <f t="array" ref="O50">interpolate_for_y($C$4:$C$28,$I$4:$I$28, K50)</f>
        <v>113.20863552825372</v>
      </c>
      <c r="P50" s="7">
        <f t="shared" si="4"/>
        <v>1138.5733657516209</v>
      </c>
      <c r="Q50" s="7">
        <f t="shared" si="5"/>
        <v>905.66908422602978</v>
      </c>
    </row>
    <row r="51" spans="9:17" ht="15" thickTop="1" thickBot="1" x14ac:dyDescent="0.5">
      <c r="I51" s="5">
        <v>30</v>
      </c>
      <c r="J51" s="5">
        <f>'Important Info'!L7</f>
        <v>16.678571428571427</v>
      </c>
      <c r="K51" s="5" cm="1">
        <f t="array" ref="K51">interpolate_for_x($C$4:$C$28,$D$4:$D$28,J51/9.807)</f>
        <v>3990.1240455237098</v>
      </c>
      <c r="L51" s="5" cm="1">
        <f t="array" ref="L51">interpolate_for_y($C$4:$C$28, $F$4:$F$28, K51)</f>
        <v>24.490826701358781</v>
      </c>
      <c r="M51" s="5" cm="1">
        <f t="array" ref="M51">interpolate_for_y($C$4:$C$28, $G$4:$G$28, K51)</f>
        <v>7.5129106556038767</v>
      </c>
      <c r="N51" s="5" cm="1">
        <f t="array" ref="N51">interpolate_for_y($C$4:$C$28, $H$4:$H$28, K51)</f>
        <v>183.99772771236849</v>
      </c>
      <c r="O51" s="5" cm="1">
        <f t="array" ref="O51">interpolate_for_y($C$4:$C$28,$I$4:$I$28, K51)</f>
        <v>151.01426564267794</v>
      </c>
      <c r="P51" s="5">
        <f t="shared" si="4"/>
        <v>1471.9818216989479</v>
      </c>
      <c r="Q51" s="5">
        <f t="shared" si="5"/>
        <v>1208.1141251414235</v>
      </c>
    </row>
    <row r="52" spans="9:17" ht="15" thickTop="1" thickBot="1" x14ac:dyDescent="0.5">
      <c r="I52" s="5">
        <v>35</v>
      </c>
      <c r="J52" s="5">
        <f>'Important Info'!L8</f>
        <v>19.458333333333332</v>
      </c>
      <c r="K52" s="5" cm="1">
        <f t="array" ref="K52">interpolate_for_x($C$4:$C$28,$D$4:$D$28,J52/9.807)</f>
        <v>4294.5249092177264</v>
      </c>
      <c r="L52" s="5" cm="1">
        <f t="array" ref="L52">interpolate_for_y($C$4:$C$28, $F$4:$F$28, K52)</f>
        <v>24.415068778418274</v>
      </c>
      <c r="M52" s="5" cm="1">
        <f t="array" ref="M52">interpolate_for_y($C$4:$C$28, $G$4:$G$28, K52)</f>
        <v>9.3749728155652239</v>
      </c>
      <c r="N52" s="5" cm="1">
        <f t="array" ref="N52">interpolate_for_y($C$4:$C$28, $H$4:$H$28, K52)</f>
        <v>228.89018752996404</v>
      </c>
      <c r="O52" s="5" cm="1">
        <f t="array" ref="O52">interpolate_for_y($C$4:$C$28,$I$4:$I$28, K52)</f>
        <v>190.60816666271779</v>
      </c>
      <c r="P52" s="5">
        <f t="shared" si="4"/>
        <v>1831.1215002397123</v>
      </c>
      <c r="Q52" s="5">
        <f t="shared" si="5"/>
        <v>1524.8653333017423</v>
      </c>
    </row>
    <row r="53" spans="9:17" ht="14.65" thickTop="1" x14ac:dyDescent="0.45"/>
  </sheetData>
  <sortState xmlns:xlrd2="http://schemas.microsoft.com/office/spreadsheetml/2017/richdata2" ref="A4:M28">
    <sortCondition ref="C4:C28"/>
  </sortState>
  <mergeCells count="3">
    <mergeCell ref="I30:Q30"/>
    <mergeCell ref="I38:Q38"/>
    <mergeCell ref="I46:Q4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E044-AFD6-4738-83B6-51BAD5F15516}">
  <sheetPr codeName="Sheet4"/>
  <dimension ref="A1:Q53"/>
  <sheetViews>
    <sheetView topLeftCell="D1" zoomScale="101" workbookViewId="0">
      <selection activeCell="K50" sqref="K50:O50"/>
    </sheetView>
  </sheetViews>
  <sheetFormatPr defaultRowHeight="14.25" x14ac:dyDescent="0.45"/>
  <cols>
    <col min="1" max="1" width="31.06640625" bestFit="1" customWidth="1"/>
    <col min="2" max="2" width="10.19921875" bestFit="1" customWidth="1"/>
    <col min="3" max="3" width="17.265625" bestFit="1" customWidth="1"/>
    <col min="4" max="7" width="11.73046875" bestFit="1" customWidth="1"/>
    <col min="8" max="8" width="16.3984375" bestFit="1" customWidth="1"/>
    <col min="9" max="9" width="18.1328125" bestFit="1" customWidth="1"/>
    <col min="10" max="10" width="21.3984375" bestFit="1" customWidth="1"/>
    <col min="11" max="11" width="20.9296875" bestFit="1" customWidth="1"/>
    <col min="12" max="12" width="28.33203125" bestFit="1" customWidth="1"/>
    <col min="13" max="13" width="13.9296875" bestFit="1" customWidth="1"/>
    <col min="14" max="15" width="12.33203125" bestFit="1" customWidth="1"/>
    <col min="16" max="16" width="12.9296875" bestFit="1" customWidth="1"/>
    <col min="17" max="17" width="13.59765625" bestFit="1" customWidth="1"/>
  </cols>
  <sheetData>
    <row r="1" spans="1:13" ht="15" thickTop="1" thickBot="1" x14ac:dyDescent="0.5">
      <c r="A1" s="4" t="s">
        <v>80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3" ht="15" thickTop="1" thickBot="1" x14ac:dyDescent="0.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3" ht="15" thickTop="1" thickBot="1" x14ac:dyDescent="0.5">
      <c r="A3" s="5" t="s">
        <v>6</v>
      </c>
      <c r="B3" s="5" t="s">
        <v>41</v>
      </c>
      <c r="C3" s="5" t="s">
        <v>42</v>
      </c>
      <c r="D3" s="5" t="s">
        <v>7</v>
      </c>
      <c r="E3" s="5" t="s">
        <v>43</v>
      </c>
      <c r="F3" s="5" t="s">
        <v>8</v>
      </c>
      <c r="G3" s="5" t="s">
        <v>9</v>
      </c>
      <c r="H3" s="5" t="s">
        <v>10</v>
      </c>
      <c r="I3" s="5" t="s">
        <v>11</v>
      </c>
      <c r="J3" s="5" t="s">
        <v>12</v>
      </c>
      <c r="K3" s="5" t="s">
        <v>13</v>
      </c>
      <c r="L3" s="5" t="s">
        <v>14</v>
      </c>
      <c r="M3" s="8" t="s">
        <v>52</v>
      </c>
    </row>
    <row r="4" spans="1:13" ht="15" thickTop="1" thickBot="1" x14ac:dyDescent="0.5">
      <c r="A4" s="5">
        <v>1.295184300009</v>
      </c>
      <c r="B4" s="5">
        <v>1000</v>
      </c>
      <c r="C4" s="5">
        <v>0</v>
      </c>
      <c r="D4" s="5">
        <v>2.1472108089972601E-4</v>
      </c>
      <c r="E4" s="5">
        <v>-1.0455246914906E-4</v>
      </c>
      <c r="F4" s="5">
        <v>25.127562736209001</v>
      </c>
      <c r="G4" s="5">
        <v>-7.1217340220099002E-3</v>
      </c>
      <c r="H4" s="5">
        <v>0.17895181842864699</v>
      </c>
      <c r="I4" s="5">
        <v>0</v>
      </c>
      <c r="J4" s="5">
        <v>0</v>
      </c>
      <c r="K4" s="5"/>
      <c r="L4" s="5"/>
      <c r="M4">
        <f>D4*2.20462</f>
        <v>4.7337838937315394E-4</v>
      </c>
    </row>
    <row r="5" spans="1:13" ht="15" thickTop="1" thickBot="1" x14ac:dyDescent="0.5">
      <c r="A5" s="5">
        <v>117.81738825001</v>
      </c>
      <c r="B5" s="5">
        <v>1117</v>
      </c>
      <c r="C5" s="5">
        <v>1054.99999999999</v>
      </c>
      <c r="D5" s="5">
        <v>0.137173224830273</v>
      </c>
      <c r="E5" s="5">
        <v>3.2429657024275999E-2</v>
      </c>
      <c r="F5" s="5">
        <v>24.943791949561</v>
      </c>
      <c r="G5" s="5">
        <v>0.32049162273367998</v>
      </c>
      <c r="H5" s="5">
        <v>7.9942763590460997</v>
      </c>
      <c r="I5" s="5">
        <v>3.5828071580175198</v>
      </c>
      <c r="J5" s="5">
        <v>44.817154137576303</v>
      </c>
      <c r="K5" s="5">
        <v>38.286521931081403</v>
      </c>
      <c r="L5" s="5">
        <v>17.158929547769699</v>
      </c>
      <c r="M5">
        <f>D5*2.20462</f>
        <v>0.30241483492531646</v>
      </c>
    </row>
    <row r="6" spans="1:13" ht="15" thickTop="1" thickBot="1" x14ac:dyDescent="0.5">
      <c r="A6" s="5">
        <v>112.6310058</v>
      </c>
      <c r="B6" s="5">
        <v>1163</v>
      </c>
      <c r="C6" s="5">
        <v>1267.00000000001</v>
      </c>
      <c r="D6" s="5">
        <v>0.20572014181055701</v>
      </c>
      <c r="E6" s="5">
        <v>4.8908948837258999E-2</v>
      </c>
      <c r="F6" s="5">
        <v>24.932925690270999</v>
      </c>
      <c r="G6" s="5">
        <v>0.48388397245942</v>
      </c>
      <c r="H6" s="5">
        <v>12.0646431280438</v>
      </c>
      <c r="I6" s="5">
        <v>6.4892358952189699</v>
      </c>
      <c r="J6" s="5">
        <v>53.787217958689197</v>
      </c>
      <c r="K6" s="5">
        <v>31.701751197259401</v>
      </c>
      <c r="L6" s="5">
        <v>17.051490013191302</v>
      </c>
      <c r="M6">
        <f>D6*2.20462</f>
        <v>0.45353473903839014</v>
      </c>
    </row>
    <row r="7" spans="1:13" ht="15" thickTop="1" thickBot="1" x14ac:dyDescent="0.5">
      <c r="A7" s="5">
        <v>107.40815720001</v>
      </c>
      <c r="B7" s="5">
        <v>1210</v>
      </c>
      <c r="C7" s="5">
        <v>1496.99999999999</v>
      </c>
      <c r="D7" s="5">
        <v>0.283523663746926</v>
      </c>
      <c r="E7" s="5">
        <v>6.9790732848472994E-2</v>
      </c>
      <c r="F7" s="5">
        <v>24.915218707036001</v>
      </c>
      <c r="G7" s="5">
        <v>0.71022315556975002</v>
      </c>
      <c r="H7" s="5">
        <v>17.695365251821499</v>
      </c>
      <c r="I7" s="5">
        <v>10.9407772749099</v>
      </c>
      <c r="J7" s="5">
        <v>61.828490789607699</v>
      </c>
      <c r="K7" s="5">
        <v>25.914398641230001</v>
      </c>
      <c r="L7" s="5">
        <v>16.022481577075101</v>
      </c>
      <c r="M7">
        <f>D7*2.20462</f>
        <v>0.62506193956974798</v>
      </c>
    </row>
    <row r="8" spans="1:13" ht="15" thickTop="1" thickBot="1" x14ac:dyDescent="0.5">
      <c r="A8" s="5">
        <v>102.22485535001</v>
      </c>
      <c r="B8" s="5">
        <v>1256</v>
      </c>
      <c r="C8" s="5">
        <v>1701.99999999999</v>
      </c>
      <c r="D8" s="5">
        <v>0.378381325050409</v>
      </c>
      <c r="E8" s="5">
        <v>8.9814105000519007E-2</v>
      </c>
      <c r="F8" s="5">
        <v>24.899455122561999</v>
      </c>
      <c r="G8" s="5">
        <v>0.97202690584043006</v>
      </c>
      <c r="H8" s="5">
        <v>24.202940319896499</v>
      </c>
      <c r="I8" s="5">
        <v>16.007839461471601</v>
      </c>
      <c r="J8" s="5">
        <v>66.140060876454697</v>
      </c>
      <c r="K8" s="5">
        <v>23.637251358068301</v>
      </c>
      <c r="L8" s="5">
        <v>15.633692437746999</v>
      </c>
      <c r="M8">
        <f>D8*2.20462</f>
        <v>0.83418703683263262</v>
      </c>
    </row>
    <row r="9" spans="1:13" ht="15" thickTop="1" thickBot="1" x14ac:dyDescent="0.5">
      <c r="A9" s="5">
        <v>97.055838100010007</v>
      </c>
      <c r="B9" s="5">
        <v>1303</v>
      </c>
      <c r="C9" s="5">
        <v>1876.99999999998</v>
      </c>
      <c r="D9" s="5">
        <v>0.472654389576246</v>
      </c>
      <c r="E9" s="5">
        <v>0.11115514057214</v>
      </c>
      <c r="F9" s="5">
        <v>24.880381884532</v>
      </c>
      <c r="G9" s="5">
        <v>1.2577974185798</v>
      </c>
      <c r="H9" s="5">
        <v>31.294480107643899</v>
      </c>
      <c r="I9" s="5">
        <v>21.848541092587801</v>
      </c>
      <c r="J9" s="5">
        <v>69.815958013794003</v>
      </c>
      <c r="K9" s="5">
        <v>21.633224276773099</v>
      </c>
      <c r="L9" s="5">
        <v>15.103442778101799</v>
      </c>
      <c r="M9">
        <f>D9*2.20462</f>
        <v>1.0420233203475833</v>
      </c>
    </row>
    <row r="10" spans="1:13" ht="15" thickTop="1" thickBot="1" x14ac:dyDescent="0.5">
      <c r="A10" s="5">
        <v>91.934012950007997</v>
      </c>
      <c r="B10" s="5">
        <v>1349</v>
      </c>
      <c r="C10" s="5">
        <v>2061.00000000001</v>
      </c>
      <c r="D10" s="5">
        <v>0.58559483656373901</v>
      </c>
      <c r="E10" s="5">
        <v>0.13740353053500001</v>
      </c>
      <c r="F10" s="5">
        <v>24.856177757507002</v>
      </c>
      <c r="G10" s="5">
        <v>1.6458029279174999</v>
      </c>
      <c r="H10" s="5">
        <v>40.908370130142799</v>
      </c>
      <c r="I10" s="5">
        <v>29.655448848686198</v>
      </c>
      <c r="J10" s="5">
        <v>72.492374431791305</v>
      </c>
      <c r="K10" s="5">
        <v>19.746618557408201</v>
      </c>
      <c r="L10" s="5">
        <v>14.314792662254</v>
      </c>
      <c r="M10">
        <f>D10*2.20462</f>
        <v>1.2910140885851502</v>
      </c>
    </row>
    <row r="11" spans="1:13" ht="15" thickTop="1" thickBot="1" x14ac:dyDescent="0.5">
      <c r="A11" s="5">
        <v>86.771927350005996</v>
      </c>
      <c r="B11" s="5">
        <v>1396</v>
      </c>
      <c r="C11" s="5">
        <v>2249.99999999995</v>
      </c>
      <c r="D11" s="5">
        <v>0.70340289231319497</v>
      </c>
      <c r="E11" s="5">
        <v>0.16462735109445001</v>
      </c>
      <c r="F11" s="5">
        <v>24.831180853885002</v>
      </c>
      <c r="G11" s="5">
        <v>2.0720441067026001</v>
      </c>
      <c r="H11" s="5">
        <v>51.451301950758797</v>
      </c>
      <c r="I11" s="6">
        <v>38.789405758369597</v>
      </c>
      <c r="J11" s="6">
        <v>75.390523247580404</v>
      </c>
      <c r="K11" s="6">
        <v>18.133891936754399</v>
      </c>
      <c r="L11" s="6">
        <v>13.6712360162699</v>
      </c>
      <c r="M11">
        <f>D11*2.20462</f>
        <v>1.5507360844515157</v>
      </c>
    </row>
    <row r="12" spans="1:13" ht="15" thickTop="1" thickBot="1" x14ac:dyDescent="0.5">
      <c r="A12" s="5">
        <v>81.627523200008</v>
      </c>
      <c r="B12" s="5">
        <v>1442</v>
      </c>
      <c r="C12" s="5">
        <v>2447.00000000002</v>
      </c>
      <c r="D12" s="5">
        <v>0.84720676063939204</v>
      </c>
      <c r="E12" s="5">
        <v>0.19722853492845999</v>
      </c>
      <c r="F12" s="5">
        <v>24.79908088825</v>
      </c>
      <c r="G12" s="5">
        <v>2.6095445611457002</v>
      </c>
      <c r="H12" s="5">
        <v>64.714306653345005</v>
      </c>
      <c r="I12" s="5">
        <v>50.539662335137599</v>
      </c>
      <c r="J12" s="5">
        <v>78.096583195835294</v>
      </c>
      <c r="K12" s="5">
        <v>16.763205797090801</v>
      </c>
      <c r="L12" s="5">
        <v>13.091490961614101</v>
      </c>
      <c r="M12">
        <f>D12*2.20462</f>
        <v>1.8677689686408163</v>
      </c>
    </row>
    <row r="13" spans="1:13" ht="15" thickTop="1" thickBot="1" x14ac:dyDescent="0.5">
      <c r="A13" s="5">
        <v>76.503469850011001</v>
      </c>
      <c r="B13" s="5">
        <v>1489</v>
      </c>
      <c r="C13" s="5">
        <v>2654.00000000002</v>
      </c>
      <c r="D13" s="5">
        <v>0.97027872976115204</v>
      </c>
      <c r="E13" s="5">
        <v>0.22711571996662</v>
      </c>
      <c r="F13" s="5">
        <v>24.766101058301999</v>
      </c>
      <c r="G13" s="5">
        <v>3.2286325661383999</v>
      </c>
      <c r="H13" s="5">
        <v>79.960640413108493</v>
      </c>
      <c r="I13" s="5">
        <v>63.121415843949201</v>
      </c>
      <c r="J13" s="5">
        <v>78.940608176521394</v>
      </c>
      <c r="K13" s="5">
        <v>15.3716249356621</v>
      </c>
      <c r="L13" s="5">
        <v>12.134454210825499</v>
      </c>
      <c r="M13">
        <f>D13*2.20462</f>
        <v>2.1390958932060307</v>
      </c>
    </row>
    <row r="14" spans="1:13" ht="15" thickTop="1" thickBot="1" x14ac:dyDescent="0.5">
      <c r="A14" s="5">
        <v>71.340123250009</v>
      </c>
      <c r="B14" s="5">
        <v>1535</v>
      </c>
      <c r="C14" s="5">
        <v>2851</v>
      </c>
      <c r="D14" s="5">
        <v>1.1561181633614901</v>
      </c>
      <c r="E14" s="5">
        <v>0.26336405166466997</v>
      </c>
      <c r="F14" s="5">
        <v>24.722300492831</v>
      </c>
      <c r="G14" s="5">
        <v>3.9574986031542001</v>
      </c>
      <c r="H14" s="5">
        <v>97.838469667137005</v>
      </c>
      <c r="I14" s="5">
        <v>78.628923562287696</v>
      </c>
      <c r="J14" s="5">
        <v>80.3660603337282</v>
      </c>
      <c r="K14" s="5">
        <v>14.7034718394134</v>
      </c>
      <c r="L14" s="5">
        <v>11.8166010496157</v>
      </c>
      <c r="M14">
        <f>D14*2.20462</f>
        <v>2.5488012253100081</v>
      </c>
    </row>
    <row r="15" spans="1:13" ht="15" thickTop="1" thickBot="1" x14ac:dyDescent="0.5">
      <c r="A15" s="5">
        <v>66.192413800007998</v>
      </c>
      <c r="B15" s="5">
        <v>1582</v>
      </c>
      <c r="C15" s="5">
        <v>3043.99999999995</v>
      </c>
      <c r="D15" s="5">
        <v>1.32252335697021</v>
      </c>
      <c r="E15" s="5">
        <v>0.30034864552253998</v>
      </c>
      <c r="F15" s="5">
        <v>24.679653516009001</v>
      </c>
      <c r="G15" s="5">
        <v>4.7430097320420996</v>
      </c>
      <c r="H15" s="5">
        <v>117.055836809857</v>
      </c>
      <c r="I15" s="5">
        <v>95.741217039748506</v>
      </c>
      <c r="J15" s="5">
        <v>81.791066254361994</v>
      </c>
      <c r="K15" s="5">
        <v>13.8135214682005</v>
      </c>
      <c r="L15" s="5">
        <v>11.298226496116399</v>
      </c>
      <c r="M15">
        <f t="shared" ref="M15:M24" si="0">D15*2.20462</f>
        <v>2.9156614432436641</v>
      </c>
    </row>
    <row r="16" spans="1:13" ht="15" thickTop="1" thickBot="1" x14ac:dyDescent="0.5">
      <c r="A16" s="5">
        <v>61.033858750004001</v>
      </c>
      <c r="B16" s="5">
        <v>1628</v>
      </c>
      <c r="C16" s="5">
        <v>3253.99999999997</v>
      </c>
      <c r="D16" s="5">
        <v>1.54102270285061</v>
      </c>
      <c r="E16" s="5">
        <v>0.35492972688933</v>
      </c>
      <c r="F16" s="5">
        <v>24.618976539761</v>
      </c>
      <c r="G16" s="5">
        <v>5.9553769794758002</v>
      </c>
      <c r="H16" s="5">
        <v>146.61528614314699</v>
      </c>
      <c r="I16" s="5">
        <v>120.945173391086</v>
      </c>
      <c r="J16" s="5">
        <v>82.491516793823394</v>
      </c>
      <c r="K16" s="5">
        <v>12.7414981486494</v>
      </c>
      <c r="L16" s="5">
        <v>10.510655085077801</v>
      </c>
      <c r="M16">
        <f t="shared" si="0"/>
        <v>3.3973694711585116</v>
      </c>
    </row>
    <row r="17" spans="1:17" ht="15" thickTop="1" thickBot="1" x14ac:dyDescent="0.5">
      <c r="A17" s="5">
        <v>55.896239650014998</v>
      </c>
      <c r="B17" s="5">
        <v>1675</v>
      </c>
      <c r="C17" s="5">
        <v>3431.99999999997</v>
      </c>
      <c r="D17" s="5">
        <v>1.7235154217108799</v>
      </c>
      <c r="E17" s="5">
        <v>0.39174585536681</v>
      </c>
      <c r="F17" s="5">
        <v>24.572139949537998</v>
      </c>
      <c r="G17" s="5">
        <v>6.8835906741553998</v>
      </c>
      <c r="H17" s="5">
        <v>169.14455340068099</v>
      </c>
      <c r="I17" s="5">
        <v>140.79275510810299</v>
      </c>
      <c r="J17" s="5">
        <v>83.238125187858699</v>
      </c>
      <c r="K17" s="5">
        <v>12.2415064637916</v>
      </c>
      <c r="L17" s="5">
        <v>10.1896004752106</v>
      </c>
      <c r="M17">
        <f t="shared" si="0"/>
        <v>3.7996965690122395</v>
      </c>
    </row>
    <row r="18" spans="1:17" ht="15" thickTop="1" thickBot="1" x14ac:dyDescent="0.5">
      <c r="A18" s="5">
        <v>50.706273950014001</v>
      </c>
      <c r="B18" s="5">
        <v>1721</v>
      </c>
      <c r="C18" s="5">
        <v>3598.00000000004</v>
      </c>
      <c r="D18" s="5">
        <v>1.9006267546366999</v>
      </c>
      <c r="E18" s="5">
        <v>0.42799810629004997</v>
      </c>
      <c r="F18" s="5">
        <v>24.526655653380999</v>
      </c>
      <c r="G18" s="5">
        <v>7.8265038495535002</v>
      </c>
      <c r="H18" s="5">
        <v>191.95796488785899</v>
      </c>
      <c r="I18" s="5">
        <v>161.26184506277599</v>
      </c>
      <c r="J18" s="5">
        <v>84.008936621611298</v>
      </c>
      <c r="K18" s="5">
        <v>11.785966816247299</v>
      </c>
      <c r="L18" s="5">
        <v>9.90126539290533</v>
      </c>
      <c r="M18">
        <f t="shared" si="0"/>
        <v>4.1901597558071613</v>
      </c>
    </row>
    <row r="19" spans="1:17" ht="15" thickTop="1" thickBot="1" x14ac:dyDescent="0.5">
      <c r="A19" s="5">
        <v>45.487340250008998</v>
      </c>
      <c r="B19" s="5">
        <v>1768</v>
      </c>
      <c r="C19" s="5">
        <v>3760.99999999999</v>
      </c>
      <c r="D19" s="5">
        <v>2.0823133775252498</v>
      </c>
      <c r="E19" s="5">
        <v>0.46867251544885002</v>
      </c>
      <c r="F19" s="5">
        <v>24.475174826579</v>
      </c>
      <c r="G19" s="5">
        <v>9.0148041176454008</v>
      </c>
      <c r="H19" s="5">
        <v>220.63890680673501</v>
      </c>
      <c r="I19" s="5">
        <v>184.58713841573399</v>
      </c>
      <c r="J19" s="5">
        <v>83.6602850726686</v>
      </c>
      <c r="K19" s="5">
        <v>11.280923445681101</v>
      </c>
      <c r="L19" s="5">
        <v>9.4376527134863597</v>
      </c>
      <c r="M19">
        <f t="shared" si="0"/>
        <v>4.5907097183597161</v>
      </c>
    </row>
    <row r="20" spans="1:17" ht="15" thickTop="1" thickBot="1" x14ac:dyDescent="0.5">
      <c r="A20" s="5">
        <v>40.343768250011003</v>
      </c>
      <c r="B20" s="5">
        <v>1814</v>
      </c>
      <c r="C20" s="5">
        <v>3920.00000000003</v>
      </c>
      <c r="D20" s="5">
        <v>2.2961442354477799</v>
      </c>
      <c r="E20" s="5">
        <v>0.51393698052708003</v>
      </c>
      <c r="F20" s="5">
        <v>24.423103199591999</v>
      </c>
      <c r="G20" s="5">
        <v>10.220362942182</v>
      </c>
      <c r="H20" s="5">
        <v>249.61297887419599</v>
      </c>
      <c r="I20" s="5">
        <v>210.97187061111501</v>
      </c>
      <c r="J20" s="5">
        <v>84.519591714597595</v>
      </c>
      <c r="K20" s="5">
        <v>10.8836511180216</v>
      </c>
      <c r="L20" s="5">
        <v>9.1988174885931109</v>
      </c>
      <c r="M20">
        <f t="shared" si="0"/>
        <v>5.0621255043528839</v>
      </c>
    </row>
    <row r="21" spans="1:17" ht="15" thickTop="1" thickBot="1" x14ac:dyDescent="0.5">
      <c r="A21" s="5">
        <v>35.218051000007002</v>
      </c>
      <c r="B21" s="5">
        <v>1861</v>
      </c>
      <c r="C21" s="5">
        <v>4099.00000000004</v>
      </c>
      <c r="D21" s="5">
        <v>2.4122795244394299</v>
      </c>
      <c r="E21" s="5">
        <v>0.54802484208383995</v>
      </c>
      <c r="F21" s="5">
        <v>24.379156994195</v>
      </c>
      <c r="G21" s="5">
        <v>11.355463704735</v>
      </c>
      <c r="H21" s="5">
        <v>276.83663239961697</v>
      </c>
      <c r="I21" s="5">
        <v>235.23762274903001</v>
      </c>
      <c r="J21" s="5">
        <v>84.973444702744999</v>
      </c>
      <c r="K21" s="5">
        <v>10.2546501543804</v>
      </c>
      <c r="L21" s="5">
        <v>8.7137294783924197</v>
      </c>
      <c r="M21">
        <f t="shared" si="0"/>
        <v>5.3181596851696558</v>
      </c>
    </row>
    <row r="22" spans="1:17" ht="15" thickTop="1" thickBot="1" x14ac:dyDescent="0.5">
      <c r="A22" s="5">
        <v>30.099248750008002</v>
      </c>
      <c r="B22" s="5">
        <v>1907</v>
      </c>
      <c r="C22" s="5">
        <v>4235</v>
      </c>
      <c r="D22" s="5">
        <v>2.6841490238645198</v>
      </c>
      <c r="E22" s="5">
        <v>0.60738998365428998</v>
      </c>
      <c r="F22" s="5">
        <v>24.315737676516999</v>
      </c>
      <c r="G22" s="5">
        <v>12.997756482165</v>
      </c>
      <c r="H22" s="5">
        <v>316.05003700357202</v>
      </c>
      <c r="I22" s="5">
        <v>269.37026803399198</v>
      </c>
      <c r="J22" s="5">
        <v>85.230259925882507</v>
      </c>
      <c r="K22" s="5">
        <v>9.96453336685917</v>
      </c>
      <c r="L22" s="5">
        <v>8.4927976889753705</v>
      </c>
      <c r="M22">
        <f t="shared" si="0"/>
        <v>5.9175286209921971</v>
      </c>
    </row>
    <row r="23" spans="1:17" ht="15" thickTop="1" thickBot="1" x14ac:dyDescent="0.5">
      <c r="A23" s="5">
        <v>24.970698450008001</v>
      </c>
      <c r="B23" s="5">
        <v>1954</v>
      </c>
      <c r="C23" s="5">
        <v>4396.99999999996</v>
      </c>
      <c r="D23" s="5">
        <v>2.8527351050827701</v>
      </c>
      <c r="E23" s="5">
        <v>0.65362028604538003</v>
      </c>
      <c r="F23" s="5">
        <v>24.270196087388999</v>
      </c>
      <c r="G23" s="5">
        <v>14.559518021112</v>
      </c>
      <c r="H23" s="5">
        <v>353.36235731026198</v>
      </c>
      <c r="I23" s="5">
        <v>300.96126683313099</v>
      </c>
      <c r="J23" s="5">
        <v>85.170720821538794</v>
      </c>
      <c r="K23" s="5">
        <v>9.4787450062950303</v>
      </c>
      <c r="L23" s="5">
        <v>8.0731154466970896</v>
      </c>
      <c r="M23">
        <f t="shared" si="0"/>
        <v>6.2891968673675755</v>
      </c>
    </row>
    <row r="24" spans="1:17" ht="15" thickTop="1" thickBot="1" x14ac:dyDescent="0.5">
      <c r="A24" s="5">
        <v>19.915571750007999</v>
      </c>
      <c r="B24" s="5">
        <v>2000</v>
      </c>
      <c r="C24" s="5">
        <v>4630.99999999995</v>
      </c>
      <c r="D24" s="5">
        <v>3.1983824631163502</v>
      </c>
      <c r="E24" s="5">
        <v>0.72576425211179996</v>
      </c>
      <c r="F24" s="5">
        <v>24.206281923879001</v>
      </c>
      <c r="G24" s="5">
        <v>16.916319009759999</v>
      </c>
      <c r="H24" s="5">
        <v>409.48118706452402</v>
      </c>
      <c r="I24" s="5">
        <v>351.96458937387803</v>
      </c>
      <c r="J24" s="5">
        <v>85.953787498036405</v>
      </c>
      <c r="K24" s="5">
        <v>9.0872279759906096</v>
      </c>
      <c r="L24" s="5">
        <v>7.8108166239450902</v>
      </c>
      <c r="M24">
        <f t="shared" si="0"/>
        <v>7.0512179458355675</v>
      </c>
    </row>
    <row r="25" spans="1:17" ht="15" thickTop="1" thickBot="1" x14ac:dyDescent="0.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7" ht="15" thickTop="1" thickBot="1" x14ac:dyDescent="0.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7" ht="15" thickTop="1" thickBot="1" x14ac:dyDescent="0.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7" ht="15" thickTop="1" thickBot="1" x14ac:dyDescent="0.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1:17" ht="14.65" thickTop="1" x14ac:dyDescent="0.45"/>
    <row r="30" spans="1:17" ht="14.65" thickBot="1" x14ac:dyDescent="0.5">
      <c r="I30" s="100" t="s">
        <v>32</v>
      </c>
      <c r="J30" s="101"/>
      <c r="K30" s="101"/>
      <c r="L30" s="101"/>
      <c r="M30" s="101"/>
      <c r="N30" s="101"/>
      <c r="O30" s="101"/>
      <c r="P30" s="101"/>
      <c r="Q30" s="101"/>
    </row>
    <row r="31" spans="1:17" ht="15" thickTop="1" thickBot="1" x14ac:dyDescent="0.5">
      <c r="I31" s="5" t="s">
        <v>18</v>
      </c>
      <c r="J31" s="5" t="s">
        <v>15</v>
      </c>
      <c r="K31" s="5" t="s">
        <v>17</v>
      </c>
      <c r="L31" s="5" t="s">
        <v>19</v>
      </c>
      <c r="M31" s="5" t="s">
        <v>22</v>
      </c>
      <c r="N31" s="5" t="s">
        <v>20</v>
      </c>
      <c r="O31" s="5" t="s">
        <v>21</v>
      </c>
      <c r="P31" s="5" t="s">
        <v>44</v>
      </c>
      <c r="Q31" s="5" t="s">
        <v>45</v>
      </c>
    </row>
    <row r="32" spans="1:17" ht="15" thickTop="1" thickBot="1" x14ac:dyDescent="0.5">
      <c r="I32" s="5">
        <v>15</v>
      </c>
      <c r="J32" s="5">
        <f>'Important Info'!H4</f>
        <v>11.119047619047619</v>
      </c>
      <c r="K32" s="5" cm="1">
        <f t="array" ref="K32">interpolate_for_x($C$4:$C$28,$D$4:$D$28,J32/9.807)</f>
        <v>2828.8774958438112</v>
      </c>
      <c r="L32" s="5" cm="1">
        <f t="array" ref="L32">ROUND(interpolate_for_y($C$4:$C$28, $F$4:$F$28, K32), 1)</f>
        <v>24.7</v>
      </c>
      <c r="M32" s="5" cm="1">
        <f t="array" ref="M32">ROUND(interpolate_for_y($C$4:$C$28, $G$4:$G$28, K32), 2)</f>
        <v>3.87</v>
      </c>
      <c r="N32" s="5" cm="1">
        <f t="array" ref="N32">ROUND(interpolate_for_y($C$4:$C$28, $H$4:$H$28, K32), 2)</f>
        <v>95.8</v>
      </c>
      <c r="O32" s="5" cm="1">
        <f t="array" ref="O32">ROUND(interpolate_for_y($C$4:$C$28,$I$4:$I$28, K32), 2)</f>
        <v>76.819999999999993</v>
      </c>
      <c r="P32" s="5">
        <f>N32*6</f>
        <v>574.79999999999995</v>
      </c>
      <c r="Q32" s="5">
        <f>O32*6</f>
        <v>460.91999999999996</v>
      </c>
    </row>
    <row r="33" spans="9:17" ht="15" thickTop="1" thickBot="1" x14ac:dyDescent="0.5">
      <c r="I33" s="5">
        <v>20</v>
      </c>
      <c r="J33" s="5">
        <f>'Important Info'!H5</f>
        <v>14.825396825396824</v>
      </c>
      <c r="K33" s="5" cm="1">
        <f t="array" ref="K33">interpolate_for_x($C$4:$C$28,$D$4:$D$28,J33/9.807)</f>
        <v>3226.8581376335505</v>
      </c>
      <c r="L33" s="5" cm="1">
        <f t="array" ref="L33">ROUND(interpolate_for_y($C$4:$C$28, $F$4:$F$28, K33), 1)</f>
        <v>24.6</v>
      </c>
      <c r="M33" s="5" cm="1">
        <f t="array" ref="M33">ROUND(interpolate_for_y($C$4:$C$28, $G$4:$G$28, K33), 2)</f>
        <v>5.8</v>
      </c>
      <c r="N33" s="5" cm="1">
        <f t="array" ref="N33">ROUND(interpolate_for_y($C$4:$C$28, $H$4:$H$28, K33), 2)</f>
        <v>142.80000000000001</v>
      </c>
      <c r="O33" s="5" cm="1">
        <f t="array" ref="O33">ROUND(interpolate_for_y($C$4:$C$28,$I$4:$I$28, K33), 2)</f>
        <v>117.69</v>
      </c>
      <c r="P33" s="5">
        <f t="shared" ref="P33:Q36" si="1">N33*6</f>
        <v>856.80000000000007</v>
      </c>
      <c r="Q33" s="5">
        <f t="shared" si="1"/>
        <v>706.14</v>
      </c>
    </row>
    <row r="34" spans="9:17" ht="15" thickTop="1" thickBot="1" x14ac:dyDescent="0.5">
      <c r="I34" s="7">
        <v>25</v>
      </c>
      <c r="J34" s="7">
        <f>'Important Info'!H6</f>
        <v>18.531746031746032</v>
      </c>
      <c r="K34" s="7" cm="1">
        <f t="array" ref="K34">interpolate_for_x($C$4:$C$28,$D$4:$D$28,J34/9.807)</f>
        <v>3587.408000521521</v>
      </c>
      <c r="L34" s="7" cm="1">
        <f t="array" ref="L34">ROUND(interpolate_for_y($C$4:$C$28, $F$4:$F$28, K34), 1)</f>
        <v>24.5</v>
      </c>
      <c r="M34" s="7" cm="1">
        <f t="array" ref="M34">ROUND(interpolate_for_y($C$4:$C$28, $G$4:$G$28, K34), 2)</f>
        <v>7.76</v>
      </c>
      <c r="N34" s="7" cm="1">
        <f t="array" ref="N34">ROUND(interpolate_for_y($C$4:$C$28, $H$4:$H$28, K34), 2)</f>
        <v>190.33</v>
      </c>
      <c r="O34" s="7" cm="1">
        <f t="array" ref="O34">ROUND(interpolate_for_y($C$4:$C$28,$I$4:$I$28, K34), 2)</f>
        <v>159.88999999999999</v>
      </c>
      <c r="P34" s="7">
        <f t="shared" si="1"/>
        <v>1141.98</v>
      </c>
      <c r="Q34" s="7">
        <f t="shared" si="1"/>
        <v>959.33999999999992</v>
      </c>
    </row>
    <row r="35" spans="9:17" ht="15" thickTop="1" thickBot="1" x14ac:dyDescent="0.5">
      <c r="I35" s="5">
        <v>30</v>
      </c>
      <c r="J35" s="5">
        <f>'Important Info'!H7</f>
        <v>22.238095238095237</v>
      </c>
      <c r="K35" s="5" cm="1">
        <f t="array" ref="K35">interpolate_for_x($C$4:$C$28,$D$4:$D$28,J35/9.807)</f>
        <v>3885.3404149697767</v>
      </c>
      <c r="L35" s="5" cm="1">
        <f t="array" ref="L35">ROUND(interpolate_for_y($C$4:$C$28, $F$4:$F$28, K35), 1)</f>
        <v>24.4</v>
      </c>
      <c r="M35" s="5" cm="1">
        <f t="array" ref="M35">ROUND(interpolate_for_y($C$4:$C$28, $G$4:$G$28, K35), 2)</f>
        <v>9.99</v>
      </c>
      <c r="N35" s="5" cm="1">
        <f t="array" ref="N35">ROUND(interpolate_for_y($C$4:$C$28, $H$4:$H$28, K35), 2)</f>
        <v>244.12</v>
      </c>
      <c r="O35" s="5" cm="1">
        <f t="array" ref="O35">ROUND(interpolate_for_y($C$4:$C$28,$I$4:$I$28, K35), 2)</f>
        <v>205.85</v>
      </c>
      <c r="P35" s="5">
        <f t="shared" si="1"/>
        <v>1464.72</v>
      </c>
      <c r="Q35" s="5">
        <f t="shared" si="1"/>
        <v>1235.0999999999999</v>
      </c>
    </row>
    <row r="36" spans="9:17" ht="15" thickTop="1" thickBot="1" x14ac:dyDescent="0.5">
      <c r="I36" s="5">
        <v>35</v>
      </c>
      <c r="J36" s="5">
        <f>'Important Info'!H8</f>
        <v>25.944444444444443</v>
      </c>
      <c r="K36" s="5" cm="1">
        <f t="array" ref="K36">interpolate_for_x($C$4:$C$28,$D$4:$D$28,J36/9.807)</f>
        <v>4217.6441845282052</v>
      </c>
      <c r="L36" s="5" cm="1">
        <f t="array" ref="L36">ROUND(interpolate_for_y($C$4:$C$28, $F$4:$F$28, K36), 1)</f>
        <v>24.3</v>
      </c>
      <c r="M36" s="5" cm="1">
        <f t="array" ref="M36">ROUND(interpolate_for_y($C$4:$C$28, $G$4:$G$28, K36), 2)</f>
        <v>12.79</v>
      </c>
      <c r="N36" s="5" cm="1">
        <f t="array" ref="N36">ROUND(interpolate_for_y($C$4:$C$28, $H$4:$H$28, K36), 2)</f>
        <v>310.99</v>
      </c>
      <c r="O36" s="5" cm="1">
        <f t="array" ref="O36">ROUND(interpolate_for_y($C$4:$C$28,$I$4:$I$28, K36), 2)</f>
        <v>265.01</v>
      </c>
      <c r="P36" s="5">
        <f t="shared" si="1"/>
        <v>1865.94</v>
      </c>
      <c r="Q36" s="5">
        <f t="shared" si="1"/>
        <v>1590.06</v>
      </c>
    </row>
    <row r="37" spans="9:17" ht="15" thickTop="1" thickBot="1" x14ac:dyDescent="0.5"/>
    <row r="38" spans="9:17" ht="15" thickTop="1" thickBot="1" x14ac:dyDescent="0.5">
      <c r="I38" s="95" t="s">
        <v>34</v>
      </c>
      <c r="J38" s="96"/>
      <c r="K38" s="96"/>
      <c r="L38" s="96"/>
      <c r="M38" s="96"/>
      <c r="N38" s="96"/>
      <c r="O38" s="96"/>
      <c r="P38" s="96"/>
      <c r="Q38" s="97"/>
    </row>
    <row r="39" spans="9:17" ht="15" thickTop="1" thickBot="1" x14ac:dyDescent="0.5">
      <c r="I39" s="5" t="s">
        <v>18</v>
      </c>
      <c r="J39" s="5" t="s">
        <v>15</v>
      </c>
      <c r="K39" s="5" t="s">
        <v>17</v>
      </c>
      <c r="L39" s="5" t="s">
        <v>19</v>
      </c>
      <c r="M39" s="5" t="s">
        <v>22</v>
      </c>
      <c r="N39" s="5" t="s">
        <v>20</v>
      </c>
      <c r="O39" s="5" t="s">
        <v>21</v>
      </c>
      <c r="P39" s="5" t="s">
        <v>44</v>
      </c>
      <c r="Q39" s="5" t="s">
        <v>45</v>
      </c>
    </row>
    <row r="40" spans="9:17" ht="15" thickTop="1" thickBot="1" x14ac:dyDescent="0.5">
      <c r="I40" s="5">
        <v>15</v>
      </c>
      <c r="J40" s="5">
        <f>'Important Info'!J4</f>
        <v>16.678571428571427</v>
      </c>
      <c r="K40" s="5" cm="1">
        <f t="array" ref="K40">interpolate_for_x($C$4:$C$28,$D$4:$D$28,J40/9.807)</f>
        <v>3409.9573869817846</v>
      </c>
      <c r="L40" s="5" cm="1">
        <f t="array" ref="L40">interpolate_for_y($C$4:$C$28, $F$4:$F$28, K40)</f>
        <v>24.577827756938451</v>
      </c>
      <c r="M40" s="5" cm="1">
        <f t="array" ref="M40">interpolate_for_y($C$4:$C$28, $G$4:$G$28, K40)</f>
        <v>6.7708059474360844</v>
      </c>
      <c r="N40" s="5" cm="1">
        <f t="array" ref="N40">interpolate_for_y($C$4:$C$28, $H$4:$H$28, K40)</f>
        <v>166.41231080925573</v>
      </c>
      <c r="O40" s="5" cm="1">
        <f t="array" ref="O40">interpolate_for_y($C$4:$C$28,$I$4:$I$28, K40)</f>
        <v>138.30116186622814</v>
      </c>
      <c r="P40" s="5">
        <f>N40*4</f>
        <v>665.64924323702292</v>
      </c>
      <c r="Q40" s="5">
        <f>O40*4</f>
        <v>553.20464746491257</v>
      </c>
    </row>
    <row r="41" spans="9:17" ht="15" thickTop="1" thickBot="1" x14ac:dyDescent="0.5">
      <c r="I41" s="5">
        <v>20</v>
      </c>
      <c r="J41" s="5">
        <f>'Important Info'!J5</f>
        <v>22.238095238095237</v>
      </c>
      <c r="K41" s="5" cm="1">
        <f t="array" ref="K41">interpolate_for_x($C$4:$C$28,$D$4:$D$28,J41/9.807)</f>
        <v>3885.3404149697767</v>
      </c>
      <c r="L41" s="5" cm="1">
        <f t="array" ref="L41">interpolate_for_y($C$4:$C$28, $F$4:$F$28, K41)</f>
        <v>24.432732837325972</v>
      </c>
      <c r="M41" s="5" cm="1">
        <f t="array" ref="M41">interpolate_for_y($C$4:$C$28, $G$4:$G$28, K41)</f>
        <v>9.9918264067237157</v>
      </c>
      <c r="N41" s="5" cm="1">
        <f t="array" ref="N41">interpolate_for_y($C$4:$C$28, $H$4:$H$28, K41)</f>
        <v>244.12249511315187</v>
      </c>
      <c r="O41" s="5" cm="1">
        <f t="array" ref="O41">interpolate_for_y($C$4:$C$28,$I$4:$I$28, K41)</f>
        <v>205.85482763010876</v>
      </c>
      <c r="P41" s="5">
        <f t="shared" ref="P41:P44" si="2">N41*4</f>
        <v>976.48998045260748</v>
      </c>
      <c r="Q41" s="5">
        <f t="shared" ref="Q41:Q44" si="3">O41*4</f>
        <v>823.41931052043503</v>
      </c>
    </row>
    <row r="42" spans="9:17" ht="15" thickTop="1" thickBot="1" x14ac:dyDescent="0.5">
      <c r="I42" s="7">
        <v>25</v>
      </c>
      <c r="J42" s="7">
        <f>'Important Info'!J6</f>
        <v>27.797619047619047</v>
      </c>
      <c r="K42" s="7" cm="1">
        <f t="array" ref="K42">interpolate_for_x($C$4:$C$28,$D$4:$D$28,J42/9.807)</f>
        <v>4375.2765434817456</v>
      </c>
      <c r="L42" s="7" cm="1">
        <f t="array" ref="L42">interpolate_for_y($C$4:$C$28, $F$4:$F$28, K42)</f>
        <v>24.274539811937917</v>
      </c>
      <c r="M42" s="7" cm="1">
        <f t="array" ref="M42">interpolate_for_y($C$4:$C$28, $G$4:$G$28, K42)</f>
        <v>14.37631955163736</v>
      </c>
      <c r="N42" s="7" cm="1">
        <f t="array" ref="N42">interpolate_for_y($C$4:$C$28, $H$4:$H$28, K42)</f>
        <v>348.98586659680109</v>
      </c>
      <c r="O42" s="7" cm="1">
        <f t="array" ref="O42">interpolate_for_y($C$4:$C$28,$I$4:$I$28, K42)</f>
        <v>297.26049948103952</v>
      </c>
      <c r="P42" s="7">
        <f t="shared" si="2"/>
        <v>1395.9434663872044</v>
      </c>
      <c r="Q42" s="7">
        <f t="shared" si="3"/>
        <v>1189.0419979241581</v>
      </c>
    </row>
    <row r="43" spans="9:17" ht="15" thickTop="1" thickBot="1" x14ac:dyDescent="0.5">
      <c r="I43" s="5">
        <v>30</v>
      </c>
      <c r="J43" s="5">
        <f>'Important Info'!J7</f>
        <v>33.357142857142854</v>
      </c>
      <c r="K43" s="5" cm="1">
        <f t="array" ref="K43">interpolate_for_x($C$4:$C$28,$D$4:$D$28,J43/9.807)</f>
        <v>4252.5334311515508</v>
      </c>
      <c r="L43" s="5" cm="1">
        <f t="array" ref="L43">interpolate_for_y($C$4:$C$28, $F$4:$F$28, K43)</f>
        <v>24.308664084712948</v>
      </c>
      <c r="M43" s="5" cm="1">
        <f t="array" ref="M43">interpolate_for_y($C$4:$C$28, $G$4:$G$28, K43)</f>
        <v>13.200375802899087</v>
      </c>
      <c r="N43" s="5" cm="1">
        <f t="array" ref="N43">interpolate_for_y($C$4:$C$28, $H$4:$H$28, K43)</f>
        <v>320.88879896812966</v>
      </c>
      <c r="O43" s="5" cm="1">
        <f t="array" ref="O43">interpolate_for_y($C$4:$C$28,$I$4:$I$28, K43)</f>
        <v>273.51857819802632</v>
      </c>
      <c r="P43" s="5">
        <f t="shared" si="2"/>
        <v>1283.5551958725187</v>
      </c>
      <c r="Q43" s="5">
        <f t="shared" si="3"/>
        <v>1094.0743127921053</v>
      </c>
    </row>
    <row r="44" spans="9:17" ht="15" thickTop="1" thickBot="1" x14ac:dyDescent="0.5">
      <c r="I44" s="5">
        <v>35</v>
      </c>
      <c r="J44" s="5">
        <f>'Important Info'!J8</f>
        <v>38.916666666666664</v>
      </c>
      <c r="K44" s="5" cm="1">
        <f t="array" ref="K44">interpolate_for_x($C$4:$C$28,$D$4:$D$28,J44/9.807)</f>
        <v>-1596.1469754891341</v>
      </c>
      <c r="L44" s="5" cm="1">
        <f t="array" ref="L44">interpolate_for_y($C$4:$C$28, $F$4:$F$28, K44)</f>
        <v>27.416258167425738</v>
      </c>
      <c r="M44" s="5" cm="1">
        <f t="array" ref="M44">interpolate_for_y($C$4:$C$28, $G$4:$G$28, K44)</f>
        <v>0.39400028819361899</v>
      </c>
      <c r="N44" s="5" cm="1">
        <f t="array" ref="N44">interpolate_for_y($C$4:$C$28, $H$4:$H$28, K44)</f>
        <v>14.851687329990909</v>
      </c>
      <c r="O44" s="5" cm="1">
        <f t="array" ref="O44">interpolate_for_y($C$4:$C$28,$I$4:$I$28, K44)</f>
        <v>-19.477725963515837</v>
      </c>
      <c r="P44" s="5">
        <f t="shared" si="2"/>
        <v>59.406749319963637</v>
      </c>
      <c r="Q44" s="5">
        <f t="shared" si="3"/>
        <v>-77.910903854063349</v>
      </c>
    </row>
    <row r="45" spans="9:17" ht="15" thickTop="1" thickBot="1" x14ac:dyDescent="0.5"/>
    <row r="46" spans="9:17" ht="15" thickTop="1" thickBot="1" x14ac:dyDescent="0.5">
      <c r="I46" s="95" t="s">
        <v>40</v>
      </c>
      <c r="J46" s="96"/>
      <c r="K46" s="96"/>
      <c r="L46" s="96"/>
      <c r="M46" s="96"/>
      <c r="N46" s="96"/>
      <c r="O46" s="96"/>
      <c r="P46" s="96"/>
      <c r="Q46" s="97"/>
    </row>
    <row r="47" spans="9:17" ht="15" thickTop="1" thickBot="1" x14ac:dyDescent="0.5">
      <c r="I47" s="5" t="s">
        <v>18</v>
      </c>
      <c r="J47" s="5" t="s">
        <v>15</v>
      </c>
      <c r="K47" s="5" t="s">
        <v>17</v>
      </c>
      <c r="L47" s="5" t="s">
        <v>19</v>
      </c>
      <c r="M47" s="5" t="s">
        <v>22</v>
      </c>
      <c r="N47" s="5" t="s">
        <v>20</v>
      </c>
      <c r="O47" s="5" t="s">
        <v>21</v>
      </c>
      <c r="P47" s="5" t="s">
        <v>44</v>
      </c>
      <c r="Q47" s="5" t="s">
        <v>45</v>
      </c>
    </row>
    <row r="48" spans="9:17" ht="15" thickTop="1" thickBot="1" x14ac:dyDescent="0.5">
      <c r="I48" s="5">
        <v>15</v>
      </c>
      <c r="J48" s="5">
        <f>'Important Info'!L4</f>
        <v>8.3392857142857135</v>
      </c>
      <c r="K48" s="5" cm="1">
        <f t="array" ref="K48">interpolate_for_x($C$4:$C$28,$D$4:$D$28,J48/9.807)</f>
        <v>2451.9743880455144</v>
      </c>
      <c r="L48" s="5" cm="1">
        <f t="array" ref="L48">interpolate_for_y($C$4:$C$28, $F$4:$F$28, K48)</f>
        <v>24.798306068180676</v>
      </c>
      <c r="M48" s="5" cm="1">
        <f t="array" ref="M48">interpolate_for_y($C$4:$C$28, $G$4:$G$28, K48)</f>
        <v>2.6235770763518635</v>
      </c>
      <c r="N48" s="5" cm="1">
        <f t="array" ref="N48">interpolate_for_y($C$4:$C$28, $H$4:$H$28, K48)</f>
        <v>65.060378601495586</v>
      </c>
      <c r="O48" s="5" cm="1">
        <f t="array" ref="O48">interpolate_for_y($C$4:$C$28,$I$4:$I$28, K48)</f>
        <v>50.833829276101923</v>
      </c>
      <c r="P48" s="5">
        <f>N48*8</f>
        <v>520.48302881196469</v>
      </c>
      <c r="Q48" s="5">
        <f>O48*8</f>
        <v>406.67063420881539</v>
      </c>
    </row>
    <row r="49" spans="9:17" ht="15" thickTop="1" thickBot="1" x14ac:dyDescent="0.5">
      <c r="I49" s="5">
        <v>20</v>
      </c>
      <c r="J49" s="5">
        <f>'Important Info'!L5</f>
        <v>11.119047619047619</v>
      </c>
      <c r="K49" s="5" cm="1">
        <f t="array" ref="K49">interpolate_for_x($C$4:$C$28,$D$4:$D$28,J49/9.807)</f>
        <v>2828.8774958438112</v>
      </c>
      <c r="L49" s="5" cm="1">
        <f t="array" ref="L49">interpolate_for_y($C$4:$C$28, $F$4:$F$28, K49)</f>
        <v>24.727250072429261</v>
      </c>
      <c r="M49" s="5" cm="1">
        <f t="array" ref="M49">interpolate_for_y($C$4:$C$28, $G$4:$G$28, K49)</f>
        <v>3.8744502977921882</v>
      </c>
      <c r="N49" s="5" cm="1">
        <f t="array" ref="N49">interpolate_for_y($C$4:$C$28, $H$4:$H$28, K49)</f>
        <v>95.803564660817131</v>
      </c>
      <c r="O49" s="5" cm="1">
        <f t="array" ref="O49">interpolate_for_y($C$4:$C$28,$I$4:$I$28, K49)</f>
        <v>76.816954097319226</v>
      </c>
      <c r="P49" s="5">
        <f t="shared" ref="P49:P52" si="4">N49*8</f>
        <v>766.42851728653704</v>
      </c>
      <c r="Q49" s="5">
        <f t="shared" ref="Q49:Q52" si="5">O49*8</f>
        <v>614.5356327785538</v>
      </c>
    </row>
    <row r="50" spans="9:17" ht="15" thickTop="1" thickBot="1" x14ac:dyDescent="0.5">
      <c r="I50" s="7">
        <v>25</v>
      </c>
      <c r="J50" s="7">
        <f>'Important Info'!L6</f>
        <v>13.898809523809524</v>
      </c>
      <c r="K50" s="7" cm="1">
        <f t="array" ref="K50">interpolate_for_x($C$4:$C$28,$D$4:$D$28,J50/9.807)</f>
        <v>3140.2770708513513</v>
      </c>
      <c r="L50" s="7" cm="1">
        <f t="array" ref="L50">interpolate_for_y($C$4:$C$28, $F$4:$F$28, K50)</f>
        <v>24.652672852065614</v>
      </c>
      <c r="M50" s="7" cm="1">
        <f t="array" ref="M50">interpolate_for_y($C$4:$C$28, $G$4:$G$28, K50)</f>
        <v>5.2795855825886484</v>
      </c>
      <c r="N50" s="7" cm="1">
        <f t="array" ref="N50">interpolate_for_y($C$4:$C$28, $H$4:$H$28, K50)</f>
        <v>130.15155823820231</v>
      </c>
      <c r="O50" s="7" cm="1">
        <f t="array" ref="O50">interpolate_for_y($C$4:$C$28,$I$4:$I$28, K50)</f>
        <v>106.95387265322806</v>
      </c>
      <c r="P50" s="7">
        <f t="shared" si="4"/>
        <v>1041.2124659056185</v>
      </c>
      <c r="Q50" s="7">
        <f t="shared" si="5"/>
        <v>855.63098122582448</v>
      </c>
    </row>
    <row r="51" spans="9:17" ht="15" thickTop="1" thickBot="1" x14ac:dyDescent="0.5">
      <c r="I51" s="5">
        <v>30</v>
      </c>
      <c r="J51" s="5">
        <f>'Important Info'!L7</f>
        <v>16.678571428571427</v>
      </c>
      <c r="K51" s="5" cm="1">
        <f t="array" ref="K51">interpolate_for_x($C$4:$C$28,$D$4:$D$28,J51/9.807)</f>
        <v>3409.9573869817846</v>
      </c>
      <c r="L51" s="5" cm="1">
        <f t="array" ref="L51">interpolate_for_y($C$4:$C$28, $F$4:$F$28, K51)</f>
        <v>24.577827756938451</v>
      </c>
      <c r="M51" s="5" cm="1">
        <f t="array" ref="M51">interpolate_for_y($C$4:$C$28, $G$4:$G$28, K51)</f>
        <v>6.7708059474360844</v>
      </c>
      <c r="N51" s="5" cm="1">
        <f t="array" ref="N51">interpolate_for_y($C$4:$C$28, $H$4:$H$28, K51)</f>
        <v>166.41231080925573</v>
      </c>
      <c r="O51" s="5" cm="1">
        <f t="array" ref="O51">interpolate_for_y($C$4:$C$28,$I$4:$I$28, K51)</f>
        <v>138.30116186622814</v>
      </c>
      <c r="P51" s="5">
        <f t="shared" si="4"/>
        <v>1331.2984864740458</v>
      </c>
      <c r="Q51" s="5">
        <f t="shared" si="5"/>
        <v>1106.4092949298251</v>
      </c>
    </row>
    <row r="52" spans="9:17" ht="15" thickTop="1" thickBot="1" x14ac:dyDescent="0.5">
      <c r="I52" s="5">
        <v>35</v>
      </c>
      <c r="J52" s="5">
        <f>'Important Info'!L8</f>
        <v>19.458333333333332</v>
      </c>
      <c r="K52" s="5" cm="1">
        <f t="array" ref="K52">interpolate_for_x($C$4:$C$28,$D$4:$D$28,J52/9.807)</f>
        <v>3679.4679941825229</v>
      </c>
      <c r="L52" s="5" cm="1">
        <f t="array" ref="L52">interpolate_for_y($C$4:$C$28, $F$4:$F$28, K52)</f>
        <v>24.502071177390796</v>
      </c>
      <c r="M52" s="5" cm="1">
        <f t="array" ref="M52">interpolate_for_y($C$4:$C$28, $G$4:$G$28, K52)</f>
        <v>8.3880628014780889</v>
      </c>
      <c r="N52" s="5" cm="1">
        <f t="array" ref="N52">interpolate_for_y($C$4:$C$28, $H$4:$H$28, K52)</f>
        <v>205.527263297796</v>
      </c>
      <c r="O52" s="5" cm="1">
        <f t="array" ref="O52">interpolate_for_y($C$4:$C$28,$I$4:$I$28, K52)</f>
        <v>172.19261046317916</v>
      </c>
      <c r="P52" s="5">
        <f t="shared" si="4"/>
        <v>1644.218106382368</v>
      </c>
      <c r="Q52" s="5">
        <f t="shared" si="5"/>
        <v>1377.5408837054333</v>
      </c>
    </row>
    <row r="53" spans="9:17" ht="14.65" thickTop="1" x14ac:dyDescent="0.45"/>
  </sheetData>
  <sortState xmlns:xlrd2="http://schemas.microsoft.com/office/spreadsheetml/2017/richdata2" ref="A4:M24">
    <sortCondition ref="C4:C24"/>
  </sortState>
  <mergeCells count="3">
    <mergeCell ref="I30:Q30"/>
    <mergeCell ref="I38:Q38"/>
    <mergeCell ref="I46:Q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86355-167E-45BF-A053-1A42299E5C1B}">
  <sheetPr codeName="Sheet5"/>
  <dimension ref="A1:AB73"/>
  <sheetViews>
    <sheetView topLeftCell="A31" zoomScale="72" zoomScaleNormal="99" workbookViewId="0">
      <selection activeCell="Z25" sqref="Z25"/>
    </sheetView>
  </sheetViews>
  <sheetFormatPr defaultColWidth="12.59765625" defaultRowHeight="14.25" x14ac:dyDescent="0.45"/>
  <cols>
    <col min="2" max="2" width="11.73046875" bestFit="1" customWidth="1"/>
    <col min="3" max="3" width="10.46484375" bestFit="1" customWidth="1"/>
    <col min="4" max="4" width="12.265625" bestFit="1" customWidth="1"/>
    <col min="5" max="5" width="12.06640625" bestFit="1" customWidth="1"/>
    <col min="6" max="6" width="12.265625" bestFit="1" customWidth="1"/>
    <col min="7" max="7" width="12.33203125" bestFit="1" customWidth="1"/>
    <col min="8" max="12" width="11.73046875" bestFit="1" customWidth="1"/>
    <col min="13" max="13" width="14.1328125" customWidth="1"/>
    <col min="14" max="14" width="11.73046875" bestFit="1" customWidth="1"/>
    <col min="15" max="15" width="17.19921875" customWidth="1"/>
    <col min="16" max="16" width="17.796875" bestFit="1" customWidth="1"/>
    <col min="17" max="17" width="17.46484375" customWidth="1"/>
  </cols>
  <sheetData>
    <row r="1" spans="1:23" ht="14.65" thickBot="1" x14ac:dyDescent="0.5"/>
    <row r="2" spans="1:23" ht="15" thickTop="1" thickBot="1" x14ac:dyDescent="0.5">
      <c r="A2" s="109" t="s">
        <v>54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6"/>
      <c r="O2" s="73"/>
      <c r="P2" s="112" t="s">
        <v>85</v>
      </c>
      <c r="Q2" s="105"/>
      <c r="R2" s="105"/>
      <c r="S2" s="105"/>
      <c r="T2" s="105"/>
    </row>
    <row r="3" spans="1:23" ht="29.25" thickTop="1" thickBot="1" x14ac:dyDescent="0.5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6"/>
      <c r="N3" s="17"/>
      <c r="O3" s="73"/>
      <c r="P3" s="87" t="s">
        <v>18</v>
      </c>
      <c r="Q3" s="86" t="s">
        <v>71</v>
      </c>
      <c r="R3" s="90" t="s">
        <v>60</v>
      </c>
      <c r="S3" s="87" t="s">
        <v>75</v>
      </c>
      <c r="T3" s="90" t="s">
        <v>77</v>
      </c>
    </row>
    <row r="4" spans="1:23" ht="57.75" thickTop="1" thickBot="1" x14ac:dyDescent="0.5">
      <c r="A4" s="18" t="s">
        <v>6</v>
      </c>
      <c r="B4" s="18" t="s">
        <v>55</v>
      </c>
      <c r="C4" s="18" t="s">
        <v>42</v>
      </c>
      <c r="D4" s="18" t="s">
        <v>7</v>
      </c>
      <c r="E4" s="18" t="s">
        <v>43</v>
      </c>
      <c r="F4" s="18" t="s">
        <v>8</v>
      </c>
      <c r="G4" s="18" t="s">
        <v>9</v>
      </c>
      <c r="H4" s="18" t="s">
        <v>10</v>
      </c>
      <c r="I4" s="18" t="s">
        <v>11</v>
      </c>
      <c r="J4" s="18" t="s">
        <v>12</v>
      </c>
      <c r="K4" s="18" t="s">
        <v>13</v>
      </c>
      <c r="L4" s="18" t="s">
        <v>14</v>
      </c>
      <c r="M4" s="19"/>
      <c r="N4" s="15" t="s">
        <v>52</v>
      </c>
      <c r="O4" s="88"/>
      <c r="P4" s="47">
        <v>15</v>
      </c>
      <c r="Q4" s="73">
        <v>1.875</v>
      </c>
      <c r="R4" s="73">
        <v>65.087087200090224</v>
      </c>
      <c r="S4" s="73">
        <v>520.69669760072179</v>
      </c>
      <c r="T4" s="85">
        <v>1.4211728313426779E-2</v>
      </c>
      <c r="U4" s="19"/>
      <c r="V4" s="19"/>
      <c r="W4" s="19"/>
    </row>
    <row r="5" spans="1:23" ht="15" thickTop="1" thickBot="1" x14ac:dyDescent="0.5">
      <c r="A5" s="5">
        <v>0.30105279999953</v>
      </c>
      <c r="B5" s="5">
        <v>1000</v>
      </c>
      <c r="C5" s="5">
        <v>0</v>
      </c>
      <c r="D5" s="5">
        <v>1.8393611390309599E-4</v>
      </c>
      <c r="E5" s="5">
        <v>1.8229320470695E-4</v>
      </c>
      <c r="F5" s="5">
        <v>23.804227406022999</v>
      </c>
      <c r="G5" s="5">
        <v>-3.1908880253135998E-4</v>
      </c>
      <c r="H5" s="5">
        <v>7.5956624181720599E-3</v>
      </c>
      <c r="I5" s="5">
        <v>0</v>
      </c>
      <c r="J5" s="5">
        <v>0</v>
      </c>
      <c r="K5" s="5"/>
      <c r="L5" s="5"/>
      <c r="M5" s="47"/>
      <c r="N5" s="74">
        <f>D5*2.20462</f>
        <v>4.0550923543304342E-4</v>
      </c>
      <c r="O5" s="73"/>
      <c r="P5" s="47">
        <v>16</v>
      </c>
      <c r="Q5" s="73">
        <v>2</v>
      </c>
      <c r="R5" s="73">
        <v>72.091803497500763</v>
      </c>
      <c r="S5" s="73">
        <v>576.7344279800061</v>
      </c>
      <c r="T5" s="85">
        <v>1.283086224957692E-2</v>
      </c>
    </row>
    <row r="6" spans="1:23" ht="15" thickTop="1" thickBot="1" x14ac:dyDescent="0.5">
      <c r="A6" s="5">
        <v>4.9520631999994</v>
      </c>
      <c r="B6" s="5">
        <v>1100</v>
      </c>
      <c r="C6" s="5">
        <v>1756.99999999997</v>
      </c>
      <c r="D6" s="5">
        <v>0.16636602039742401</v>
      </c>
      <c r="E6" s="5">
        <v>3.8331446618832997E-2</v>
      </c>
      <c r="F6" s="5">
        <v>23.789514131907001</v>
      </c>
      <c r="G6" s="5">
        <v>0.64105877873189998</v>
      </c>
      <c r="H6" s="5">
        <v>15.2504768760255</v>
      </c>
      <c r="I6" s="5">
        <v>7.0527028987094296</v>
      </c>
      <c r="J6" s="5">
        <v>46.245785991102998</v>
      </c>
      <c r="K6" s="5">
        <v>23.588973303818999</v>
      </c>
      <c r="L6" s="5">
        <v>10.9089061115825</v>
      </c>
      <c r="M6" s="47"/>
      <c r="N6" s="75">
        <f t="shared" ref="N6:N21" si="0">D6*2.20462</f>
        <v>0.36677385588856892</v>
      </c>
      <c r="O6" s="73"/>
      <c r="P6" s="47">
        <v>17</v>
      </c>
      <c r="Q6" s="73">
        <v>2.125</v>
      </c>
      <c r="R6" s="73">
        <v>79.21144071243863</v>
      </c>
      <c r="S6" s="73">
        <v>633.69152569950904</v>
      </c>
      <c r="T6" s="85">
        <v>1.1677606058928133E-2</v>
      </c>
    </row>
    <row r="7" spans="1:23" ht="15" thickTop="1" thickBot="1" x14ac:dyDescent="0.5">
      <c r="A7" s="5">
        <v>9.1019905999994997</v>
      </c>
      <c r="B7" s="5">
        <v>1150</v>
      </c>
      <c r="C7" s="5">
        <v>2268.00000000001</v>
      </c>
      <c r="D7" s="5">
        <v>0.30019950157423703</v>
      </c>
      <c r="E7" s="5">
        <v>6.7677202975528997E-2</v>
      </c>
      <c r="F7" s="5">
        <v>23.775350871857</v>
      </c>
      <c r="G7" s="5">
        <v>1.1672000107958</v>
      </c>
      <c r="H7" s="5">
        <v>27.750589794305402</v>
      </c>
      <c r="I7" s="5">
        <v>16.073633798467199</v>
      </c>
      <c r="J7" s="5">
        <v>57.921773618539802</v>
      </c>
      <c r="K7" s="5">
        <v>18.676517415922699</v>
      </c>
      <c r="L7" s="5">
        <v>10.817770137477901</v>
      </c>
      <c r="M7" s="47"/>
      <c r="N7" s="75">
        <f t="shared" si="0"/>
        <v>0.66182582516059441</v>
      </c>
      <c r="O7" s="73"/>
      <c r="P7" s="47">
        <v>18</v>
      </c>
      <c r="Q7" s="73">
        <v>2.25</v>
      </c>
      <c r="R7" s="73">
        <v>85.307510300911588</v>
      </c>
      <c r="S7" s="73">
        <v>682.4600824072927</v>
      </c>
      <c r="T7" s="85">
        <v>1.0843125027763417E-2</v>
      </c>
    </row>
    <row r="8" spans="1:23" ht="15" thickTop="1" thickBot="1" x14ac:dyDescent="0.5">
      <c r="A8" s="5">
        <v>13.252131399999</v>
      </c>
      <c r="B8" s="5">
        <v>1200</v>
      </c>
      <c r="C8" s="5">
        <v>2708.00000000001</v>
      </c>
      <c r="D8" s="5">
        <v>0.44740656152783997</v>
      </c>
      <c r="E8" s="5">
        <v>9.9237053320913995E-2</v>
      </c>
      <c r="F8" s="5">
        <v>23.755588862399001</v>
      </c>
      <c r="G8" s="5">
        <v>1.8742496819639001</v>
      </c>
      <c r="H8" s="5">
        <v>44.523904870216498</v>
      </c>
      <c r="I8" s="5">
        <v>28.141752430299999</v>
      </c>
      <c r="J8" s="5">
        <v>63.205939623514297</v>
      </c>
      <c r="K8" s="5">
        <v>15.898319148246101</v>
      </c>
      <c r="L8" s="5">
        <v>10.048682001994001</v>
      </c>
      <c r="M8" s="47"/>
      <c r="N8" s="75">
        <f t="shared" si="0"/>
        <v>0.98636145367550643</v>
      </c>
      <c r="O8" s="73"/>
      <c r="P8" s="47">
        <v>19</v>
      </c>
      <c r="Q8" s="73">
        <v>2.375</v>
      </c>
      <c r="R8" s="73">
        <v>90.586432681910537</v>
      </c>
      <c r="S8" s="73">
        <v>724.6914614552843</v>
      </c>
      <c r="T8" s="85">
        <v>1.0211242154198615E-2</v>
      </c>
    </row>
    <row r="9" spans="1:23" ht="15" thickTop="1" thickBot="1" x14ac:dyDescent="0.5">
      <c r="A9" s="5">
        <v>17.401643799999</v>
      </c>
      <c r="B9" s="5">
        <v>1250</v>
      </c>
      <c r="C9" s="5">
        <v>3147</v>
      </c>
      <c r="D9" s="5">
        <v>0.62907676572392202</v>
      </c>
      <c r="E9" s="5">
        <v>0.12767764477769999</v>
      </c>
      <c r="F9" s="5">
        <v>23.731873737040999</v>
      </c>
      <c r="G9" s="5">
        <v>2.681740926736</v>
      </c>
      <c r="H9" s="5">
        <v>63.642737068754002</v>
      </c>
      <c r="I9" s="5">
        <v>42.076559725347202</v>
      </c>
      <c r="J9" s="5">
        <v>66.113686593792096</v>
      </c>
      <c r="K9" s="5">
        <v>14.9507652201175</v>
      </c>
      <c r="L9" s="5">
        <v>9.8845020610022196</v>
      </c>
      <c r="M9" s="47"/>
      <c r="N9" s="75">
        <f t="shared" si="0"/>
        <v>1.3868752192502729</v>
      </c>
      <c r="O9" s="73"/>
      <c r="P9" s="47">
        <v>20</v>
      </c>
      <c r="Q9" s="73">
        <v>2.5</v>
      </c>
      <c r="R9" s="73">
        <v>95.724438237182426</v>
      </c>
      <c r="S9" s="73">
        <v>765.79550589745941</v>
      </c>
      <c r="T9" s="85">
        <v>9.6631541227546261E-3</v>
      </c>
    </row>
    <row r="10" spans="1:23" ht="15" thickTop="1" thickBot="1" x14ac:dyDescent="0.5">
      <c r="A10" s="5">
        <v>21.552031399998999</v>
      </c>
      <c r="B10" s="5">
        <v>1300</v>
      </c>
      <c r="C10" s="5">
        <v>3573.99999999996</v>
      </c>
      <c r="D10" s="5">
        <v>0.80328680809610797</v>
      </c>
      <c r="E10" s="5">
        <v>0.16361276307104999</v>
      </c>
      <c r="F10" s="5">
        <v>23.700922188675001</v>
      </c>
      <c r="G10" s="5">
        <v>3.7169521553684</v>
      </c>
      <c r="H10" s="5">
        <v>88.095193813414198</v>
      </c>
      <c r="I10" s="5">
        <v>61.235087839139297</v>
      </c>
      <c r="J10" s="5">
        <v>69.5101346491561</v>
      </c>
      <c r="K10" s="5">
        <v>13.118080441172699</v>
      </c>
      <c r="L10" s="5">
        <v>9.1183953780437808</v>
      </c>
      <c r="M10" s="47"/>
      <c r="N10" s="75">
        <f t="shared" si="0"/>
        <v>1.7709421628648414</v>
      </c>
      <c r="O10" s="73"/>
      <c r="P10" s="47">
        <v>21</v>
      </c>
      <c r="Q10" s="73">
        <v>2.625</v>
      </c>
      <c r="R10" s="73">
        <v>101.36796787840731</v>
      </c>
      <c r="S10" s="73">
        <v>810.94374302725851</v>
      </c>
      <c r="T10" s="85">
        <v>9.1251705973779997E-3</v>
      </c>
    </row>
    <row r="11" spans="1:23" ht="15" thickTop="1" thickBot="1" x14ac:dyDescent="0.5">
      <c r="A11" s="5">
        <v>25.678092999998999</v>
      </c>
      <c r="B11" s="5">
        <v>1350</v>
      </c>
      <c r="C11" s="5">
        <v>3974.00000000002</v>
      </c>
      <c r="D11" s="5">
        <v>0.95809503989549905</v>
      </c>
      <c r="E11" s="5">
        <v>0.20157129068203</v>
      </c>
      <c r="F11" s="5">
        <v>23.664004858778998</v>
      </c>
      <c r="G11" s="5">
        <v>4.8953884727911996</v>
      </c>
      <c r="H11" s="5">
        <v>115.844496605741</v>
      </c>
      <c r="I11" s="5">
        <v>83.885163896320407</v>
      </c>
      <c r="J11" s="5">
        <v>72.411867938629996</v>
      </c>
      <c r="K11" s="5">
        <v>11.421507634886099</v>
      </c>
      <c r="L11" s="5">
        <v>8.2705270251742995</v>
      </c>
      <c r="M11" s="47"/>
      <c r="N11" s="75">
        <f t="shared" si="0"/>
        <v>2.1122354868544151</v>
      </c>
      <c r="O11" s="73"/>
      <c r="P11" s="47">
        <v>22</v>
      </c>
      <c r="Q11" s="73">
        <v>2.75</v>
      </c>
      <c r="R11" s="73">
        <v>107.72714907743095</v>
      </c>
      <c r="S11" s="73">
        <v>861.81719261944761</v>
      </c>
      <c r="T11" s="85">
        <v>8.5865077459270599E-3</v>
      </c>
    </row>
    <row r="12" spans="1:23" ht="15" thickTop="1" thickBot="1" x14ac:dyDescent="0.5">
      <c r="A12" s="5">
        <v>29.802045599999001</v>
      </c>
      <c r="B12" s="5">
        <v>1400</v>
      </c>
      <c r="C12" s="5">
        <v>4479.00000000003</v>
      </c>
      <c r="D12" s="5">
        <v>1.23922437451117</v>
      </c>
      <c r="E12" s="5">
        <v>0.25195792460222999</v>
      </c>
      <c r="F12" s="5">
        <v>23.607859449304001</v>
      </c>
      <c r="G12" s="5">
        <v>6.7738988528541997</v>
      </c>
      <c r="H12" s="5">
        <v>159.91725204198301</v>
      </c>
      <c r="I12" s="6">
        <v>118.178290326154</v>
      </c>
      <c r="J12" s="6">
        <v>73.899650486195696</v>
      </c>
      <c r="K12" s="6">
        <v>10.486057727617199</v>
      </c>
      <c r="L12" s="6">
        <v>7.7491600104899003</v>
      </c>
      <c r="M12" s="47"/>
      <c r="N12" s="75">
        <f t="shared" si="0"/>
        <v>2.7320188405348151</v>
      </c>
      <c r="O12" s="73"/>
      <c r="P12" s="47">
        <v>23</v>
      </c>
      <c r="Q12" s="73">
        <v>2.875</v>
      </c>
      <c r="R12" s="73">
        <v>114.68461081840219</v>
      </c>
      <c r="S12" s="73">
        <v>917.47688654721753</v>
      </c>
      <c r="T12" s="85">
        <v>8.0655982820981523E-3</v>
      </c>
    </row>
    <row r="13" spans="1:23" ht="15" thickTop="1" thickBot="1" x14ac:dyDescent="0.5">
      <c r="A13" s="5">
        <v>33.9294996</v>
      </c>
      <c r="B13" s="5">
        <v>1450</v>
      </c>
      <c r="C13" s="5">
        <v>5050.99999999998</v>
      </c>
      <c r="D13" s="5">
        <v>1.6327320384203501</v>
      </c>
      <c r="E13" s="5">
        <v>0.32202240224368001</v>
      </c>
      <c r="F13" s="5">
        <v>23.528425555811999</v>
      </c>
      <c r="G13" s="5">
        <v>9.4635808400852</v>
      </c>
      <c r="H13" s="5">
        <v>222.66315728735299</v>
      </c>
      <c r="I13" s="5">
        <v>170.330362992419</v>
      </c>
      <c r="J13" s="5">
        <v>76.496877645816795</v>
      </c>
      <c r="K13" s="5">
        <v>9.5856781476654405</v>
      </c>
      <c r="L13" s="5">
        <v>7.33274448414143</v>
      </c>
      <c r="M13" s="47"/>
      <c r="N13" s="75">
        <f t="shared" si="0"/>
        <v>3.599553706542272</v>
      </c>
      <c r="O13" s="73"/>
      <c r="P13" s="47">
        <v>24</v>
      </c>
      <c r="Q13" s="73">
        <v>3</v>
      </c>
      <c r="R13" s="73">
        <v>122.11059904561732</v>
      </c>
      <c r="S13" s="73">
        <v>976.88479236493856</v>
      </c>
      <c r="T13" s="85">
        <v>7.5751000095777453E-3</v>
      </c>
    </row>
    <row r="14" spans="1:23" ht="15" thickTop="1" thickBot="1" x14ac:dyDescent="0.5">
      <c r="A14" s="5">
        <v>38.054564999999002</v>
      </c>
      <c r="B14" s="5">
        <v>1500</v>
      </c>
      <c r="C14" s="5">
        <v>5517.99999999997</v>
      </c>
      <c r="D14" s="5">
        <v>1.9878731992295</v>
      </c>
      <c r="E14" s="5">
        <v>0.38330009743658</v>
      </c>
      <c r="F14" s="5">
        <v>23.442638656006</v>
      </c>
      <c r="G14" s="5">
        <v>12.140891323584</v>
      </c>
      <c r="H14" s="5">
        <v>284.61452826061799</v>
      </c>
      <c r="I14" s="5">
        <v>221.48751153708699</v>
      </c>
      <c r="J14" s="5">
        <v>77.820170632425999</v>
      </c>
      <c r="K14" s="5">
        <v>8.9751028644187905</v>
      </c>
      <c r="L14" s="5">
        <v>6.98444036352645</v>
      </c>
      <c r="M14" s="47"/>
      <c r="N14" s="75">
        <f t="shared" si="0"/>
        <v>4.38250501248534</v>
      </c>
      <c r="O14" s="73"/>
      <c r="P14" s="47">
        <v>25</v>
      </c>
      <c r="Q14" s="73">
        <v>3.125</v>
      </c>
      <c r="R14" s="73">
        <v>129.82535140029137</v>
      </c>
      <c r="S14" s="73">
        <v>1038.6028112023309</v>
      </c>
      <c r="T14" s="85">
        <v>7.1249566438525659E-3</v>
      </c>
    </row>
    <row r="15" spans="1:23" ht="15" thickTop="1" thickBot="1" x14ac:dyDescent="0.5">
      <c r="A15" s="5">
        <v>42.205407999999998</v>
      </c>
      <c r="B15" s="5">
        <v>1550</v>
      </c>
      <c r="C15" s="5">
        <v>5947.00000000003</v>
      </c>
      <c r="D15" s="5">
        <v>2.2398813294425701</v>
      </c>
      <c r="E15" s="5">
        <v>0.43990569750262998</v>
      </c>
      <c r="F15" s="5">
        <v>23.343889876365001</v>
      </c>
      <c r="G15" s="5">
        <v>15.156926853461</v>
      </c>
      <c r="H15" s="5">
        <v>353.82163133131297</v>
      </c>
      <c r="I15" s="5">
        <v>273.95936021264703</v>
      </c>
      <c r="J15" s="5">
        <v>77.428663471430198</v>
      </c>
      <c r="K15" s="5">
        <v>8.17596203942065</v>
      </c>
      <c r="L15" s="5">
        <v>6.3305381330549002</v>
      </c>
      <c r="M15" s="47"/>
      <c r="N15" s="75">
        <f t="shared" si="0"/>
        <v>4.9380871765156789</v>
      </c>
      <c r="O15" s="73"/>
      <c r="P15" s="47">
        <v>26</v>
      </c>
      <c r="Q15" s="73">
        <v>3.25</v>
      </c>
      <c r="R15" s="73">
        <v>137.61752847674941</v>
      </c>
      <c r="S15" s="73">
        <v>1100.9402278139953</v>
      </c>
      <c r="T15" s="85">
        <v>6.7215274844605244E-3</v>
      </c>
    </row>
    <row r="16" spans="1:23" ht="15" thickTop="1" thickBot="1" x14ac:dyDescent="0.5">
      <c r="A16" s="5">
        <v>46.328860999999002</v>
      </c>
      <c r="B16" s="5">
        <v>1600</v>
      </c>
      <c r="C16" s="5">
        <v>6383.00000000001</v>
      </c>
      <c r="D16" s="5">
        <v>2.6146274082512302</v>
      </c>
      <c r="E16" s="5">
        <v>0.51592978490198005</v>
      </c>
      <c r="F16" s="5">
        <v>23.21870750403</v>
      </c>
      <c r="G16" s="5">
        <v>19.119536687855</v>
      </c>
      <c r="H16" s="5">
        <v>443.93092996787499</v>
      </c>
      <c r="I16" s="5">
        <v>344.86098400431899</v>
      </c>
      <c r="J16" s="5">
        <v>77.683477479092105</v>
      </c>
      <c r="K16" s="5">
        <v>7.5816851703308101</v>
      </c>
      <c r="L16" s="5">
        <v>5.8897166918295998</v>
      </c>
      <c r="M16" s="47"/>
      <c r="N16" s="75">
        <f t="shared" si="0"/>
        <v>5.7642598767788265</v>
      </c>
      <c r="O16" s="73"/>
      <c r="P16" s="47">
        <v>27</v>
      </c>
      <c r="Q16" s="73">
        <v>3.375</v>
      </c>
      <c r="R16" s="73">
        <v>145.27529458049182</v>
      </c>
      <c r="S16" s="73">
        <v>1162.2023566439345</v>
      </c>
      <c r="T16" s="85">
        <v>6.3672216440593121E-3</v>
      </c>
    </row>
    <row r="17" spans="1:28" ht="15" thickTop="1" thickBot="1" x14ac:dyDescent="0.5">
      <c r="A17" s="5">
        <v>50.479440400000001</v>
      </c>
      <c r="B17" s="5">
        <v>1650</v>
      </c>
      <c r="C17" s="5">
        <v>6792</v>
      </c>
      <c r="D17" s="5">
        <v>3.0357613099546699</v>
      </c>
      <c r="E17" s="5">
        <v>0.59246557311966996</v>
      </c>
      <c r="F17" s="5">
        <v>23.080851294315</v>
      </c>
      <c r="G17" s="5">
        <v>23.440974378084</v>
      </c>
      <c r="H17" s="5">
        <v>541.03764381440396</v>
      </c>
      <c r="I17" s="5">
        <v>421.39503539279002</v>
      </c>
      <c r="J17" s="5">
        <v>77.886453966841401</v>
      </c>
      <c r="K17" s="5">
        <v>7.2040746923489101</v>
      </c>
      <c r="L17" s="5">
        <v>5.61099831899321</v>
      </c>
      <c r="M17" s="47"/>
      <c r="N17" s="75">
        <f t="shared" si="0"/>
        <v>6.6927000991522636</v>
      </c>
      <c r="O17" s="73"/>
      <c r="P17" s="47">
        <v>28</v>
      </c>
      <c r="Q17" s="73">
        <v>3.5</v>
      </c>
      <c r="R17" s="73">
        <v>152.6150799625392</v>
      </c>
      <c r="S17" s="73">
        <v>1220.9206397003136</v>
      </c>
      <c r="T17" s="85">
        <v>6.0610000022740208E-3</v>
      </c>
    </row>
    <row r="18" spans="1:28" ht="15" thickTop="1" thickBot="1" x14ac:dyDescent="0.5">
      <c r="A18" s="5">
        <v>54.629613800000001</v>
      </c>
      <c r="B18" s="5">
        <v>1700</v>
      </c>
      <c r="C18" s="5">
        <v>7224.99999999998</v>
      </c>
      <c r="D18" s="5">
        <v>3.3140039976010098</v>
      </c>
      <c r="E18" s="5">
        <v>0.64070692037632004</v>
      </c>
      <c r="F18" s="5">
        <v>22.947844707702998</v>
      </c>
      <c r="G18" s="5">
        <v>27.283432903786</v>
      </c>
      <c r="H18" s="5">
        <v>626.09598136911495</v>
      </c>
      <c r="I18" s="5">
        <v>484.75900379314299</v>
      </c>
      <c r="J18" s="5">
        <v>77.4256692613003</v>
      </c>
      <c r="K18" s="5">
        <v>6.83639493370847</v>
      </c>
      <c r="L18" s="5">
        <v>5.2931245307694104</v>
      </c>
      <c r="M18" s="47"/>
      <c r="N18" s="75">
        <f t="shared" si="0"/>
        <v>7.3061194931911375</v>
      </c>
      <c r="O18" s="73"/>
      <c r="P18" s="47">
        <v>29</v>
      </c>
      <c r="Q18" s="73">
        <v>3.625</v>
      </c>
      <c r="R18" s="73">
        <v>159.648658881888</v>
      </c>
      <c r="S18" s="73">
        <v>1277.189271055104</v>
      </c>
      <c r="T18" s="85">
        <v>5.7939728806888245E-3</v>
      </c>
    </row>
    <row r="19" spans="1:28" ht="15" thickTop="1" thickBot="1" x14ac:dyDescent="0.5">
      <c r="A19" s="5">
        <v>58.759991599998997</v>
      </c>
      <c r="B19" s="5">
        <v>1750</v>
      </c>
      <c r="C19" s="5">
        <v>7541.99999999996</v>
      </c>
      <c r="D19" s="5">
        <v>3.8500884178797001</v>
      </c>
      <c r="E19" s="5">
        <v>0.74498350010504999</v>
      </c>
      <c r="F19" s="5">
        <v>22.771632081675001</v>
      </c>
      <c r="G19" s="5">
        <v>33.134104814106003</v>
      </c>
      <c r="H19" s="5">
        <v>754.51764418247797</v>
      </c>
      <c r="I19" s="5">
        <v>588.385281311271</v>
      </c>
      <c r="J19" s="5">
        <v>77.981646399904704</v>
      </c>
      <c r="K19" s="5">
        <v>6.5434818649770099</v>
      </c>
      <c r="L19" s="5">
        <v>5.1027148901882597</v>
      </c>
      <c r="M19" s="47"/>
      <c r="N19" s="75">
        <f t="shared" si="0"/>
        <v>8.4879819278259436</v>
      </c>
      <c r="O19" s="73"/>
      <c r="P19" s="48">
        <v>30</v>
      </c>
      <c r="Q19" s="78">
        <v>3.75</v>
      </c>
      <c r="R19" s="78">
        <v>166.47032154646996</v>
      </c>
      <c r="S19" s="78">
        <v>1331.7625723717597</v>
      </c>
      <c r="T19" s="89">
        <v>5.5565460041583905E-3</v>
      </c>
    </row>
    <row r="20" spans="1:28" ht="15" thickTop="1" thickBot="1" x14ac:dyDescent="0.5">
      <c r="A20" s="5">
        <v>62.881272199999003</v>
      </c>
      <c r="B20" s="5">
        <v>1800</v>
      </c>
      <c r="C20" s="5">
        <v>7895.99999999996</v>
      </c>
      <c r="D20" s="5">
        <v>4.2767178993232102</v>
      </c>
      <c r="E20" s="5">
        <v>0.81522593524382003</v>
      </c>
      <c r="F20" s="5">
        <v>22.598714173025002</v>
      </c>
      <c r="G20" s="5">
        <v>38.707002380745998</v>
      </c>
      <c r="H20" s="5">
        <v>874.72848329707699</v>
      </c>
      <c r="I20" s="5">
        <v>674.08357537560801</v>
      </c>
      <c r="J20" s="5">
        <v>77.062035619877506</v>
      </c>
      <c r="K20" s="5">
        <v>6.3444920712393396</v>
      </c>
      <c r="L20" s="5">
        <v>4.8891947398387696</v>
      </c>
      <c r="M20" s="47"/>
      <c r="N20" s="75">
        <f t="shared" si="0"/>
        <v>9.4285378152059351</v>
      </c>
    </row>
    <row r="21" spans="1:28" ht="15" thickTop="1" thickBot="1" x14ac:dyDescent="0.5">
      <c r="A21" s="5">
        <v>67.008852199998998</v>
      </c>
      <c r="B21" s="5">
        <v>1850</v>
      </c>
      <c r="C21" s="5">
        <v>8204.0000000000091</v>
      </c>
      <c r="D21" s="5">
        <v>4.7200607966484904</v>
      </c>
      <c r="E21" s="5">
        <v>0.90083081507878005</v>
      </c>
      <c r="F21" s="5">
        <v>22.408540394726</v>
      </c>
      <c r="G21" s="5">
        <v>44.923365744260998</v>
      </c>
      <c r="H21" s="5">
        <v>1006.66705594732</v>
      </c>
      <c r="I21" s="5">
        <v>773.92255447564298</v>
      </c>
      <c r="J21" s="5">
        <v>76.879694224953496</v>
      </c>
      <c r="K21" s="5">
        <v>6.09888000983055</v>
      </c>
      <c r="L21" s="5">
        <v>4.6888003027045402</v>
      </c>
      <c r="M21" s="47"/>
      <c r="N21" s="75">
        <f t="shared" si="0"/>
        <v>10.405940433507194</v>
      </c>
    </row>
    <row r="22" spans="1:28" ht="15" thickTop="1" thickBot="1" x14ac:dyDescent="0.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47"/>
      <c r="N22" s="75"/>
    </row>
    <row r="23" spans="1:28" ht="15" thickTop="1" thickBot="1" x14ac:dyDescent="0.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47"/>
      <c r="N23" s="75"/>
    </row>
    <row r="24" spans="1:28" ht="15" thickTop="1" thickBot="1" x14ac:dyDescent="0.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47"/>
      <c r="N24" s="75"/>
    </row>
    <row r="25" spans="1:28" ht="15" thickTop="1" thickBot="1" x14ac:dyDescent="0.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47"/>
      <c r="N25" s="75"/>
    </row>
    <row r="26" spans="1:28" ht="15" thickTop="1" thickBot="1" x14ac:dyDescent="0.5">
      <c r="A26" s="79"/>
      <c r="B26" s="79"/>
      <c r="C26" s="79"/>
      <c r="D26" s="79"/>
      <c r="E26" s="79"/>
      <c r="F26" s="79"/>
      <c r="G26" s="79"/>
      <c r="H26" s="79"/>
      <c r="I26" s="80"/>
      <c r="J26" s="81"/>
      <c r="K26" s="81"/>
      <c r="L26" s="79"/>
      <c r="M26" s="47"/>
      <c r="N26" s="77"/>
    </row>
    <row r="27" spans="1:28" ht="15" thickTop="1" thickBot="1" x14ac:dyDescent="0.5">
      <c r="N27" s="76"/>
    </row>
    <row r="28" spans="1:28" ht="14.65" thickBot="1" x14ac:dyDescent="0.5">
      <c r="D28" s="16"/>
      <c r="N28" s="104" t="s">
        <v>82</v>
      </c>
      <c r="O28" s="105"/>
      <c r="P28" s="105"/>
      <c r="Q28" s="105"/>
      <c r="R28" s="106"/>
      <c r="S28" s="104" t="s">
        <v>76</v>
      </c>
      <c r="T28" s="105"/>
      <c r="U28" s="105"/>
      <c r="V28" s="105"/>
      <c r="W28" s="107"/>
      <c r="X28" s="108"/>
      <c r="Y28" s="108"/>
      <c r="Z28" s="108"/>
      <c r="AA28" s="108"/>
      <c r="AB28" s="108"/>
    </row>
    <row r="29" spans="1:28" ht="29.25" thickTop="1" thickBot="1" x14ac:dyDescent="0.5">
      <c r="A29" s="111" t="s">
        <v>56</v>
      </c>
      <c r="B29" s="103"/>
      <c r="C29" s="20"/>
      <c r="D29" s="18" t="s">
        <v>57</v>
      </c>
      <c r="E29" s="18" t="s">
        <v>58</v>
      </c>
      <c r="F29" s="18" t="s">
        <v>73</v>
      </c>
      <c r="G29" s="18" t="s">
        <v>70</v>
      </c>
      <c r="H29" s="18" t="s">
        <v>71</v>
      </c>
      <c r="I29" s="18" t="s">
        <v>59</v>
      </c>
      <c r="J29" s="18" t="s">
        <v>60</v>
      </c>
      <c r="K29" s="18" t="s">
        <v>61</v>
      </c>
      <c r="L29" s="18" t="s">
        <v>62</v>
      </c>
      <c r="M29" s="20"/>
      <c r="N29" s="25" t="s">
        <v>18</v>
      </c>
      <c r="O29" s="12" t="s">
        <v>71</v>
      </c>
      <c r="P29" s="12" t="s">
        <v>60</v>
      </c>
      <c r="Q29" s="11" t="s">
        <v>75</v>
      </c>
      <c r="R29" s="24" t="s">
        <v>77</v>
      </c>
      <c r="S29" s="25" t="s">
        <v>18</v>
      </c>
      <c r="T29" s="12" t="s">
        <v>71</v>
      </c>
      <c r="U29" s="12" t="s">
        <v>60</v>
      </c>
      <c r="V29" s="11" t="s">
        <v>75</v>
      </c>
      <c r="W29" s="26" t="s">
        <v>77</v>
      </c>
      <c r="X29" s="20"/>
      <c r="Y29" s="22"/>
      <c r="Z29" s="22"/>
      <c r="AA29" s="20"/>
      <c r="AB29" s="22"/>
    </row>
    <row r="30" spans="1:28" ht="28.9" thickTop="1" x14ac:dyDescent="0.45">
      <c r="A30" s="59" t="s">
        <v>68</v>
      </c>
      <c r="B30" s="60">
        <v>2.6</v>
      </c>
      <c r="D30" s="27">
        <v>0.05</v>
      </c>
      <c r="E30" s="30">
        <f>$B$32*$B$47*D30</f>
        <v>136.73711780663973</v>
      </c>
      <c r="F30" s="33">
        <f>E30/$B$32</f>
        <v>2.0017821300521583</v>
      </c>
      <c r="G30" s="33">
        <f t="shared" ref="G30:G48" si="1">F30+$B$36</f>
        <v>24.401782130052158</v>
      </c>
      <c r="H30" s="38">
        <f t="shared" ref="H30:H48" si="2">G30/$B$35</f>
        <v>4.0669636883420264</v>
      </c>
      <c r="I30" s="27">
        <f t="shared" ref="I30:I48" si="3">$B$46/H30</f>
        <v>2.5586509324722715</v>
      </c>
      <c r="J30" s="30">
        <f t="shared" ref="J30:J48" si="4">FORECAST(H30, $H$5:$H$26, $N$5:$N$26)</f>
        <v>320.13004753683202</v>
      </c>
      <c r="K30" s="30">
        <f t="shared" ref="K30:K48" si="5">$B$35*J30</f>
        <v>1920.780285220992</v>
      </c>
      <c r="L30" s="56">
        <f t="shared" ref="L30:L48" si="6">E30/K30/24</f>
        <v>2.9661799178423401E-3</v>
      </c>
      <c r="N30" s="49">
        <v>15</v>
      </c>
      <c r="O30" s="46">
        <f>N30/6</f>
        <v>2.5</v>
      </c>
      <c r="P30" s="46" cm="1">
        <f t="array" ref="P30">interpolate_for_y($N$5:$N$26,$H$5:$H$26,O30)</f>
        <v>143.99407642095969</v>
      </c>
      <c r="Q30" s="46">
        <f>P30*6</f>
        <v>863.96445852575812</v>
      </c>
      <c r="R30" s="53">
        <f xml:space="preserve"> $B$31/Q30/24</f>
        <v>8.5651671512357429E-3</v>
      </c>
      <c r="S30" s="82">
        <f>N30-1.3</f>
        <v>13.7</v>
      </c>
      <c r="T30" s="46">
        <f>S30/6</f>
        <v>2.2833333333333332</v>
      </c>
      <c r="U30" s="46" cm="1">
        <f t="array" ref="U30">interpolate_for_y($N$5:$N$26,$H$5:$H$26,T30)</f>
        <v>128.81321537648003</v>
      </c>
      <c r="V30">
        <f>U30*6</f>
        <v>772.87929225888024</v>
      </c>
      <c r="W30" s="53">
        <f xml:space="preserve"> ($B$31/2)/V30/24</f>
        <v>4.7872934843241526E-3</v>
      </c>
      <c r="AB30" s="14"/>
    </row>
    <row r="31" spans="1:28" ht="28.5" x14ac:dyDescent="0.45">
      <c r="A31" s="59" t="s">
        <v>58</v>
      </c>
      <c r="B31" s="61">
        <v>177.6</v>
      </c>
      <c r="D31" s="28">
        <v>0.1</v>
      </c>
      <c r="E31" s="31">
        <f t="shared" ref="E31:E48" si="7">$B$32*$B$47*D31</f>
        <v>273.47423561327946</v>
      </c>
      <c r="F31" s="34">
        <f t="shared" ref="F31:F48" si="8">E31/$B$32</f>
        <v>4.0035642601043167</v>
      </c>
      <c r="G31" s="36">
        <f t="shared" si="1"/>
        <v>26.403564260104314</v>
      </c>
      <c r="H31" s="39">
        <f t="shared" si="2"/>
        <v>4.4005940433507194</v>
      </c>
      <c r="I31" s="28">
        <f t="shared" si="3"/>
        <v>2.3646672087898066</v>
      </c>
      <c r="J31" s="41">
        <f t="shared" si="4"/>
        <v>352.15207211188221</v>
      </c>
      <c r="K31" s="41">
        <f t="shared" si="5"/>
        <v>2112.9124326712931</v>
      </c>
      <c r="L31" s="57">
        <f t="shared" si="6"/>
        <v>5.3929162614722833E-3</v>
      </c>
      <c r="N31" s="50">
        <v>16</v>
      </c>
      <c r="O31" s="47">
        <f t="shared" ref="O31:O45" si="9">N31/6</f>
        <v>2.6666666666666665</v>
      </c>
      <c r="P31" s="47" cm="1">
        <f t="array" ref="P31">interpolate_for_y($N$5:$N$26,$H$5:$H$26,O31)</f>
        <v>155.38908298372138</v>
      </c>
      <c r="Q31" s="47">
        <f t="shared" ref="Q31:Q45" si="10">P31*6</f>
        <v>932.33449790232828</v>
      </c>
      <c r="R31" s="54">
        <f t="shared" ref="R31:R45" si="11" xml:space="preserve"> $B$31/Q31/24</f>
        <v>7.9370655238536793E-3</v>
      </c>
      <c r="S31" s="73">
        <f t="shared" ref="S31:S45" si="12">N31-1.3</f>
        <v>14.7</v>
      </c>
      <c r="T31" s="47">
        <f t="shared" ref="T31:T45" si="13">S31/6</f>
        <v>2.4499999999999997</v>
      </c>
      <c r="U31" s="47" cm="1">
        <f t="array" ref="U31">interpolate_for_y($N$5:$N$26,$H$5:$H$26,T31)</f>
        <v>140.56139101151973</v>
      </c>
      <c r="V31">
        <f t="shared" ref="V31:V45" si="14">U31*6</f>
        <v>843.36834606911839</v>
      </c>
      <c r="W31" s="54">
        <f t="shared" ref="W31:W45" si="15" xml:space="preserve"> ($B$31/2)/V31/24</f>
        <v>4.3871696361921153E-3</v>
      </c>
      <c r="AB31" s="14"/>
    </row>
    <row r="32" spans="1:28" ht="43.15" thickBot="1" x14ac:dyDescent="0.5">
      <c r="A32" s="68" t="s">
        <v>69</v>
      </c>
      <c r="B32" s="72">
        <f>B31/B30</f>
        <v>68.307692307692307</v>
      </c>
      <c r="D32" s="28">
        <v>0.15</v>
      </c>
      <c r="E32" s="31">
        <f t="shared" si="7"/>
        <v>410.21135341991919</v>
      </c>
      <c r="F32" s="34">
        <f t="shared" si="8"/>
        <v>6.0053463901564745</v>
      </c>
      <c r="G32" s="36">
        <f t="shared" si="1"/>
        <v>28.405346390156474</v>
      </c>
      <c r="H32" s="39">
        <f t="shared" si="2"/>
        <v>4.7342243983594123</v>
      </c>
      <c r="I32" s="28">
        <f t="shared" si="3"/>
        <v>2.1980243346963539</v>
      </c>
      <c r="J32" s="41">
        <f t="shared" si="4"/>
        <v>384.17409668693239</v>
      </c>
      <c r="K32" s="41">
        <f t="shared" si="5"/>
        <v>2305.0445801215942</v>
      </c>
      <c r="L32" s="57">
        <f t="shared" si="6"/>
        <v>7.4151015877221491E-3</v>
      </c>
      <c r="N32" s="50">
        <v>17</v>
      </c>
      <c r="O32" s="47">
        <f t="shared" si="9"/>
        <v>2.8333333333333335</v>
      </c>
      <c r="P32" s="47" cm="1">
        <f t="array" ref="P32">interpolate_for_y($N$5:$N$26,$H$5:$H$26,O32)</f>
        <v>167.08183346871451</v>
      </c>
      <c r="Q32" s="47">
        <f t="shared" si="10"/>
        <v>1002.491000812287</v>
      </c>
      <c r="R32" s="54">
        <f t="shared" si="11"/>
        <v>7.3816123975217855E-3</v>
      </c>
      <c r="S32" s="73">
        <f t="shared" si="12"/>
        <v>15.7</v>
      </c>
      <c r="T32" s="47">
        <f t="shared" si="13"/>
        <v>2.6166666666666667</v>
      </c>
      <c r="U32" s="47" cm="1">
        <f t="array" ref="U32">interpolate_for_y($N$5:$N$26,$H$5:$H$26,T32)</f>
        <v>151.96005481123467</v>
      </c>
      <c r="V32">
        <f t="shared" si="14"/>
        <v>911.76032886740802</v>
      </c>
      <c r="W32" s="54">
        <f t="shared" si="15"/>
        <v>4.0580839973550437E-3</v>
      </c>
      <c r="AB32" s="14"/>
    </row>
    <row r="33" spans="1:28" ht="15" thickTop="1" thickBot="1" x14ac:dyDescent="0.5">
      <c r="A33" s="22"/>
      <c r="B33" s="23"/>
      <c r="D33" s="28">
        <v>0.2</v>
      </c>
      <c r="E33" s="31">
        <f t="shared" si="7"/>
        <v>546.94847122655892</v>
      </c>
      <c r="F33" s="34">
        <f t="shared" si="8"/>
        <v>8.0071285202086333</v>
      </c>
      <c r="G33" s="36">
        <f t="shared" si="1"/>
        <v>30.40712852020863</v>
      </c>
      <c r="H33" s="39">
        <f t="shared" si="2"/>
        <v>5.0678547533681053</v>
      </c>
      <c r="I33" s="28">
        <f t="shared" si="3"/>
        <v>2.0533225476897079</v>
      </c>
      <c r="J33" s="41">
        <f t="shared" si="4"/>
        <v>416.19612126198251</v>
      </c>
      <c r="K33" s="41">
        <f t="shared" si="5"/>
        <v>2497.1767275718948</v>
      </c>
      <c r="L33" s="57">
        <f t="shared" si="6"/>
        <v>9.126114056252287E-3</v>
      </c>
      <c r="N33" s="50">
        <v>18</v>
      </c>
      <c r="O33" s="47">
        <f t="shared" si="9"/>
        <v>3</v>
      </c>
      <c r="P33" s="47" cm="1">
        <f t="array" ref="P33">interpolate_for_y($N$5:$N$26,$H$5:$H$26,O33)</f>
        <v>179.166647761105</v>
      </c>
      <c r="Q33" s="47">
        <f t="shared" si="10"/>
        <v>1074.99988656663</v>
      </c>
      <c r="R33" s="54">
        <f t="shared" si="11"/>
        <v>6.8837216565988332E-3</v>
      </c>
      <c r="S33" s="73">
        <f t="shared" si="12"/>
        <v>16.7</v>
      </c>
      <c r="T33" s="47">
        <f t="shared" si="13"/>
        <v>2.7833333333333332</v>
      </c>
      <c r="U33" s="47" cm="1">
        <f t="array" ref="U33">interpolate_for_y($N$5:$N$26,$H$5:$H$26,T33)</f>
        <v>163.52460395701539</v>
      </c>
      <c r="V33">
        <f t="shared" si="14"/>
        <v>981.14762374209226</v>
      </c>
      <c r="W33" s="54">
        <f t="shared" si="15"/>
        <v>3.7710940845865969E-3</v>
      </c>
      <c r="AB33" s="14"/>
    </row>
    <row r="34" spans="1:28" ht="15" thickTop="1" thickBot="1" x14ac:dyDescent="0.5">
      <c r="A34" s="102" t="s">
        <v>63</v>
      </c>
      <c r="B34" s="103"/>
      <c r="D34" s="28">
        <v>0.25</v>
      </c>
      <c r="E34" s="31">
        <f t="shared" si="7"/>
        <v>683.68558903319865</v>
      </c>
      <c r="F34" s="34">
        <f t="shared" si="8"/>
        <v>10.008910650260791</v>
      </c>
      <c r="G34" s="36">
        <f t="shared" si="1"/>
        <v>32.408910650260793</v>
      </c>
      <c r="H34" s="39">
        <f t="shared" si="2"/>
        <v>5.4014851083767992</v>
      </c>
      <c r="I34" s="28">
        <f t="shared" si="3"/>
        <v>1.9264961810908861</v>
      </c>
      <c r="J34" s="41">
        <f t="shared" si="4"/>
        <v>448.21814583703281</v>
      </c>
      <c r="K34" s="41">
        <f t="shared" si="5"/>
        <v>2689.3088750221968</v>
      </c>
      <c r="L34" s="57">
        <f t="shared" si="6"/>
        <v>1.0592646983628766E-2</v>
      </c>
      <c r="N34" s="50">
        <v>19</v>
      </c>
      <c r="O34" s="47">
        <f t="shared" si="9"/>
        <v>3.1666666666666665</v>
      </c>
      <c r="P34" s="47" cm="1">
        <f t="array" ref="P34">interpolate_for_y($N$5:$N$26,$H$5:$H$26,O34)</f>
        <v>191.43832758300721</v>
      </c>
      <c r="Q34" s="47">
        <f t="shared" si="10"/>
        <v>1148.6299654980432</v>
      </c>
      <c r="R34" s="54">
        <f t="shared" si="11"/>
        <v>6.4424577298846436E-3</v>
      </c>
      <c r="S34" s="73">
        <f t="shared" si="12"/>
        <v>17.7</v>
      </c>
      <c r="T34" s="47">
        <f t="shared" si="13"/>
        <v>2.9499999999999997</v>
      </c>
      <c r="U34" s="47" cm="1">
        <f t="array" ref="U34">interpolate_for_y($N$5:$N$26,$H$5:$H$26,T34)</f>
        <v>175.5119116369481</v>
      </c>
      <c r="V34">
        <f t="shared" si="14"/>
        <v>1053.0714698216887</v>
      </c>
      <c r="W34" s="54">
        <f t="shared" si="15"/>
        <v>3.5135317079917684E-3</v>
      </c>
      <c r="AB34" s="14"/>
    </row>
    <row r="35" spans="1:28" ht="28.9" thickTop="1" x14ac:dyDescent="0.45">
      <c r="A35" s="59" t="s">
        <v>64</v>
      </c>
      <c r="B35" s="60">
        <v>6</v>
      </c>
      <c r="D35" s="28">
        <v>0.3</v>
      </c>
      <c r="E35" s="31">
        <f t="shared" si="7"/>
        <v>820.42270683983838</v>
      </c>
      <c r="F35" s="34">
        <f t="shared" si="8"/>
        <v>12.010692780312949</v>
      </c>
      <c r="G35" s="36">
        <f t="shared" si="1"/>
        <v>34.410692780312949</v>
      </c>
      <c r="H35" s="39">
        <f t="shared" si="2"/>
        <v>5.7351154633854913</v>
      </c>
      <c r="I35" s="28">
        <f t="shared" si="3"/>
        <v>1.8144256205374585</v>
      </c>
      <c r="J35" s="41">
        <f t="shared" si="4"/>
        <v>480.24017041208288</v>
      </c>
      <c r="K35" s="41">
        <f t="shared" si="5"/>
        <v>2881.441022472497</v>
      </c>
      <c r="L35" s="57">
        <f t="shared" si="6"/>
        <v>1.1863605461661403E-2</v>
      </c>
      <c r="M35" s="21"/>
      <c r="N35" s="50">
        <v>20</v>
      </c>
      <c r="O35" s="47">
        <f t="shared" si="9"/>
        <v>3.3333333333333335</v>
      </c>
      <c r="P35" s="47" cm="1">
        <f t="array" ref="P35">interpolate_for_y($N$5:$N$26,$H$5:$H$26,O35)</f>
        <v>203.68432445439939</v>
      </c>
      <c r="Q35" s="47">
        <f t="shared" si="10"/>
        <v>1222.1059467263963</v>
      </c>
      <c r="R35" s="54">
        <f t="shared" si="11"/>
        <v>6.0551215054816384E-3</v>
      </c>
      <c r="S35" s="73">
        <f t="shared" si="12"/>
        <v>18.7</v>
      </c>
      <c r="T35" s="47">
        <f t="shared" si="13"/>
        <v>3.1166666666666667</v>
      </c>
      <c r="U35" s="47" cm="1">
        <f t="array" ref="U35">interpolate_for_y($N$5:$N$26,$H$5:$H$26,T35)</f>
        <v>187.74984939039911</v>
      </c>
      <c r="V35">
        <f t="shared" si="14"/>
        <v>1126.4990963423948</v>
      </c>
      <c r="W35" s="54">
        <f t="shared" si="15"/>
        <v>3.2845121776071094E-3</v>
      </c>
      <c r="AB35" s="14"/>
    </row>
    <row r="36" spans="1:28" ht="28.9" thickBot="1" x14ac:dyDescent="0.5">
      <c r="A36" s="68" t="s">
        <v>67</v>
      </c>
      <c r="B36" s="71">
        <v>22.4</v>
      </c>
      <c r="D36" s="28">
        <v>0.35</v>
      </c>
      <c r="E36" s="31">
        <f t="shared" si="7"/>
        <v>957.159824646478</v>
      </c>
      <c r="F36" s="34">
        <f t="shared" si="8"/>
        <v>14.012474910365107</v>
      </c>
      <c r="G36" s="36">
        <f t="shared" si="1"/>
        <v>36.412474910365106</v>
      </c>
      <c r="H36" s="39">
        <f t="shared" si="2"/>
        <v>6.0687458183941843</v>
      </c>
      <c r="I36" s="28">
        <f t="shared" si="3"/>
        <v>1.714677257031775</v>
      </c>
      <c r="J36" s="41">
        <f t="shared" si="4"/>
        <v>512.26219498713306</v>
      </c>
      <c r="K36" s="41">
        <f t="shared" si="5"/>
        <v>3073.5731699227981</v>
      </c>
      <c r="L36" s="57">
        <f t="shared" si="6"/>
        <v>1.29756661564272E-2</v>
      </c>
      <c r="N36" s="50">
        <v>21</v>
      </c>
      <c r="O36" s="47">
        <f t="shared" si="9"/>
        <v>3.5</v>
      </c>
      <c r="P36" s="47" cm="1">
        <f t="array" ref="P36">interpolate_for_y($N$5:$N$26,$H$5:$H$26,O36)</f>
        <v>215.69208989525978</v>
      </c>
      <c r="Q36" s="47">
        <f t="shared" si="10"/>
        <v>1294.1525393715588</v>
      </c>
      <c r="R36" s="54">
        <f t="shared" si="11"/>
        <v>5.7180276473385782E-3</v>
      </c>
      <c r="S36" s="73">
        <f t="shared" si="12"/>
        <v>19.7</v>
      </c>
      <c r="T36" s="47">
        <f t="shared" si="13"/>
        <v>3.2833333333333332</v>
      </c>
      <c r="U36" s="47" cm="1">
        <f t="array" ref="U36">interpolate_for_y($N$5:$N$26,$H$5:$H$26,T36)</f>
        <v>200.02586873734657</v>
      </c>
      <c r="V36">
        <f t="shared" si="14"/>
        <v>1200.1552124240793</v>
      </c>
      <c r="W36" s="54">
        <f t="shared" si="15"/>
        <v>3.0829345752094194E-3</v>
      </c>
      <c r="AB36" s="14"/>
    </row>
    <row r="37" spans="1:28" ht="15" thickTop="1" thickBot="1" x14ac:dyDescent="0.5">
      <c r="A37" s="22"/>
      <c r="B37" s="23"/>
      <c r="D37" s="28">
        <v>0.4</v>
      </c>
      <c r="E37" s="31">
        <f t="shared" si="7"/>
        <v>1093.8969424531178</v>
      </c>
      <c r="F37" s="34">
        <f t="shared" si="8"/>
        <v>16.014257040417267</v>
      </c>
      <c r="G37" s="36">
        <f t="shared" si="1"/>
        <v>38.414257040417269</v>
      </c>
      <c r="H37" s="39">
        <f t="shared" si="2"/>
        <v>6.4023761734028781</v>
      </c>
      <c r="I37" s="28">
        <f t="shared" si="3"/>
        <v>1.6253247468863443</v>
      </c>
      <c r="J37" s="41">
        <f t="shared" si="4"/>
        <v>544.28421956218335</v>
      </c>
      <c r="K37" s="41">
        <f t="shared" si="5"/>
        <v>3265.7053173731001</v>
      </c>
      <c r="L37" s="57">
        <f t="shared" si="6"/>
        <v>1.3956874500098257E-2</v>
      </c>
      <c r="N37" s="50">
        <v>22</v>
      </c>
      <c r="O37" s="47">
        <f t="shared" si="9"/>
        <v>3.6666666666666665</v>
      </c>
      <c r="P37" s="47" cm="1">
        <f t="array" ref="P37">interpolate_for_y($N$5:$N$26,$H$5:$H$26,O37)</f>
        <v>227.26036508192647</v>
      </c>
      <c r="Q37" s="47">
        <f t="shared" si="10"/>
        <v>1363.5621904915588</v>
      </c>
      <c r="R37" s="54">
        <f t="shared" si="11"/>
        <v>5.4269618588737266E-3</v>
      </c>
      <c r="S37" s="73">
        <f t="shared" si="12"/>
        <v>20.7</v>
      </c>
      <c r="T37" s="47">
        <f t="shared" si="13"/>
        <v>3.4499999999999997</v>
      </c>
      <c r="U37" s="47" cm="1">
        <f t="array" ref="U37">interpolate_for_y($N$5:$N$26,$H$5:$H$26,T37)</f>
        <v>212.12742119776877</v>
      </c>
      <c r="V37">
        <f t="shared" si="14"/>
        <v>1272.7645271866127</v>
      </c>
      <c r="W37" s="54">
        <f t="shared" si="15"/>
        <v>2.9070577636058723E-3</v>
      </c>
      <c r="AB37" s="14"/>
    </row>
    <row r="38" spans="1:28" ht="15" thickTop="1" thickBot="1" x14ac:dyDescent="0.5">
      <c r="A38" s="102" t="s">
        <v>65</v>
      </c>
      <c r="B38" s="103"/>
      <c r="D38" s="28">
        <v>0.45</v>
      </c>
      <c r="E38" s="31">
        <f t="shared" si="7"/>
        <v>1230.6340602597577</v>
      </c>
      <c r="F38" s="34">
        <f t="shared" si="8"/>
        <v>18.016039170469426</v>
      </c>
      <c r="G38" s="36">
        <f t="shared" si="1"/>
        <v>40.416039170469425</v>
      </c>
      <c r="H38" s="39">
        <f t="shared" si="2"/>
        <v>6.7360065284115711</v>
      </c>
      <c r="I38" s="28">
        <f t="shared" si="3"/>
        <v>1.5448233889941072</v>
      </c>
      <c r="J38" s="41">
        <f t="shared" si="4"/>
        <v>576.30624413723353</v>
      </c>
      <c r="K38" s="41">
        <f t="shared" si="5"/>
        <v>3457.8374648234012</v>
      </c>
      <c r="L38" s="57">
        <f t="shared" si="6"/>
        <v>1.4829042631160425E-2</v>
      </c>
      <c r="N38" s="50">
        <v>23</v>
      </c>
      <c r="O38" s="47">
        <f t="shared" si="9"/>
        <v>3.8333333333333335</v>
      </c>
      <c r="P38" s="47" cm="1">
        <f t="array" ref="P38">interpolate_for_y($N$5:$N$26,$H$5:$H$26,O38)</f>
        <v>238.61991178463555</v>
      </c>
      <c r="Q38" s="47">
        <f t="shared" si="10"/>
        <v>1431.7194707078133</v>
      </c>
      <c r="R38" s="54">
        <f t="shared" si="11"/>
        <v>5.1686102978969672E-3</v>
      </c>
      <c r="S38" s="73">
        <f t="shared" si="12"/>
        <v>21.7</v>
      </c>
      <c r="T38" s="47">
        <f t="shared" si="13"/>
        <v>3.6166666666666667</v>
      </c>
      <c r="U38" s="47" cm="1">
        <f t="array" ref="U38">interpolate_for_y($N$5:$N$26,$H$5:$H$26,T38)</f>
        <v>223.84214546195182</v>
      </c>
      <c r="V38">
        <f t="shared" si="14"/>
        <v>1343.052872771711</v>
      </c>
      <c r="W38" s="54">
        <f t="shared" si="15"/>
        <v>2.7549176022863228E-3</v>
      </c>
      <c r="AB38" s="14"/>
    </row>
    <row r="39" spans="1:28" ht="28.9" thickTop="1" x14ac:dyDescent="0.45">
      <c r="A39" s="59" t="s">
        <v>70</v>
      </c>
      <c r="B39" s="62">
        <f>B30+B36</f>
        <v>25</v>
      </c>
      <c r="D39" s="28">
        <v>0.5</v>
      </c>
      <c r="E39" s="31">
        <f t="shared" si="7"/>
        <v>1367.3711780663973</v>
      </c>
      <c r="F39" s="34">
        <f t="shared" si="8"/>
        <v>20.017821300521582</v>
      </c>
      <c r="G39" s="36">
        <f t="shared" si="1"/>
        <v>42.417821300521581</v>
      </c>
      <c r="H39" s="39">
        <f t="shared" si="2"/>
        <v>7.0696368834202632</v>
      </c>
      <c r="I39" s="28">
        <f t="shared" si="3"/>
        <v>1.4719200724313353</v>
      </c>
      <c r="J39" s="41">
        <f t="shared" si="4"/>
        <v>608.3282687122836</v>
      </c>
      <c r="K39" s="41">
        <f t="shared" si="5"/>
        <v>3649.9696122737014</v>
      </c>
      <c r="L39" s="57">
        <f t="shared" si="6"/>
        <v>1.5609389978074035E-2</v>
      </c>
      <c r="N39" s="50">
        <v>24</v>
      </c>
      <c r="O39" s="47">
        <f t="shared" si="9"/>
        <v>4</v>
      </c>
      <c r="P39" s="47" cm="1">
        <f t="array" ref="P39">interpolate_for_y($N$5:$N$26,$H$5:$H$26,O39)</f>
        <v>250.55876239688516</v>
      </c>
      <c r="Q39" s="47">
        <f t="shared" si="10"/>
        <v>1503.3525743813109</v>
      </c>
      <c r="R39" s="54">
        <f t="shared" si="11"/>
        <v>4.9223316779468005E-3</v>
      </c>
      <c r="S39" s="73">
        <f t="shared" si="12"/>
        <v>22.7</v>
      </c>
      <c r="T39" s="47">
        <f t="shared" si="13"/>
        <v>3.7833333333333332</v>
      </c>
      <c r="U39" s="47" cm="1">
        <f t="array" ref="U39">interpolate_for_y($N$5:$N$26,$H$5:$H$26,T39)</f>
        <v>235.18875299813217</v>
      </c>
      <c r="V39">
        <f t="shared" si="14"/>
        <v>1411.1325179887931</v>
      </c>
      <c r="W39" s="54">
        <f t="shared" si="15"/>
        <v>2.6220074676426559E-3</v>
      </c>
      <c r="AB39" s="14"/>
    </row>
    <row r="40" spans="1:28" ht="28.5" x14ac:dyDescent="0.45">
      <c r="A40" s="59" t="s">
        <v>71</v>
      </c>
      <c r="B40" s="63">
        <f>B39/B35</f>
        <v>4.166666666666667</v>
      </c>
      <c r="D40" s="28">
        <v>0.6</v>
      </c>
      <c r="E40" s="31">
        <f t="shared" si="7"/>
        <v>1640.8454136796768</v>
      </c>
      <c r="F40" s="34">
        <f t="shared" si="8"/>
        <v>24.021385560625898</v>
      </c>
      <c r="G40" s="36">
        <f t="shared" si="1"/>
        <v>46.421385560625893</v>
      </c>
      <c r="H40" s="39">
        <f t="shared" si="2"/>
        <v>7.7368975934376492</v>
      </c>
      <c r="I40" s="28">
        <f t="shared" si="3"/>
        <v>1.3449758521210617</v>
      </c>
      <c r="J40" s="41">
        <f t="shared" si="4"/>
        <v>672.37231786238397</v>
      </c>
      <c r="K40" s="41">
        <f t="shared" si="5"/>
        <v>4034.2339071743036</v>
      </c>
      <c r="L40" s="57">
        <f t="shared" si="6"/>
        <v>1.6947098377646432E-2</v>
      </c>
      <c r="N40" s="50">
        <v>25</v>
      </c>
      <c r="O40" s="47">
        <f t="shared" si="9"/>
        <v>4.166666666666667</v>
      </c>
      <c r="P40" s="47" cm="1">
        <f t="array" ref="P40">interpolate_for_y($N$5:$N$26,$H$5:$H$26,O40)</f>
        <v>263.90179900243714</v>
      </c>
      <c r="Q40" s="47">
        <f t="shared" si="10"/>
        <v>1583.4107940146228</v>
      </c>
      <c r="R40" s="54">
        <f t="shared" si="11"/>
        <v>4.6734555732298871E-3</v>
      </c>
      <c r="S40" s="73">
        <f t="shared" si="12"/>
        <v>23.7</v>
      </c>
      <c r="T40" s="47">
        <f t="shared" si="13"/>
        <v>3.9499999999999997</v>
      </c>
      <c r="U40" s="47" cm="1">
        <f t="array" ref="U40">interpolate_for_y($N$5:$N$26,$H$5:$H$26,T40)</f>
        <v>246.86719981872469</v>
      </c>
      <c r="V40">
        <f t="shared" si="14"/>
        <v>1481.2031989123482</v>
      </c>
      <c r="W40" s="54">
        <f t="shared" si="15"/>
        <v>2.497969220372276E-3</v>
      </c>
      <c r="AB40" s="14"/>
    </row>
    <row r="41" spans="1:28" x14ac:dyDescent="0.45">
      <c r="A41" s="59" t="s">
        <v>60</v>
      </c>
      <c r="B41" s="64" cm="1">
        <f t="array" ref="B41">interpolate_for_y(N5:N26,H5:H26,B40)</f>
        <v>263.90179900243714</v>
      </c>
      <c r="D41" s="28">
        <v>0.7</v>
      </c>
      <c r="E41" s="31">
        <f t="shared" si="7"/>
        <v>1914.319649292956</v>
      </c>
      <c r="F41" s="34">
        <f t="shared" si="8"/>
        <v>28.024949820730214</v>
      </c>
      <c r="G41" s="36">
        <f t="shared" si="1"/>
        <v>50.424949820730212</v>
      </c>
      <c r="H41" s="39">
        <f t="shared" si="2"/>
        <v>8.404158303455036</v>
      </c>
      <c r="I41" s="28">
        <f t="shared" si="3"/>
        <v>1.2381894840354453</v>
      </c>
      <c r="J41" s="41">
        <f t="shared" si="4"/>
        <v>736.41636701248444</v>
      </c>
      <c r="K41" s="41">
        <f t="shared" si="5"/>
        <v>4418.4982020749067</v>
      </c>
      <c r="L41" s="57">
        <f t="shared" si="6"/>
        <v>1.8052133343198679E-2</v>
      </c>
      <c r="N41" s="50">
        <v>26</v>
      </c>
      <c r="O41" s="47">
        <f t="shared" si="9"/>
        <v>4.333333333333333</v>
      </c>
      <c r="P41" s="47" cm="1">
        <f t="array" ref="P41">interpolate_for_y($N$5:$N$26,$H$5:$H$26,O41)</f>
        <v>279.47390368505302</v>
      </c>
      <c r="Q41" s="47">
        <f t="shared" si="10"/>
        <v>1676.843422110318</v>
      </c>
      <c r="R41" s="54">
        <f t="shared" si="11"/>
        <v>4.4130536592898182E-3</v>
      </c>
      <c r="S41" s="73">
        <f t="shared" si="12"/>
        <v>24.7</v>
      </c>
      <c r="T41" s="47">
        <f t="shared" si="13"/>
        <v>4.1166666666666663</v>
      </c>
      <c r="U41" s="47" cm="1">
        <f t="array" ref="U41">interpolate_for_y($N$5:$N$26,$H$5:$H$26,T41)</f>
        <v>259.70236800749092</v>
      </c>
      <c r="V41">
        <f t="shared" si="14"/>
        <v>1558.2142080449455</v>
      </c>
      <c r="W41" s="54">
        <f t="shared" si="15"/>
        <v>2.3745130681630112E-3</v>
      </c>
      <c r="AB41" s="14"/>
    </row>
    <row r="42" spans="1:28" ht="28.5" x14ac:dyDescent="0.45">
      <c r="A42" s="59" t="s">
        <v>61</v>
      </c>
      <c r="B42" s="65">
        <f>B41*B35</f>
        <v>1583.4107940146228</v>
      </c>
      <c r="D42" s="28">
        <v>0.8</v>
      </c>
      <c r="E42" s="31">
        <f t="shared" si="7"/>
        <v>2187.7938849062357</v>
      </c>
      <c r="F42" s="34">
        <f t="shared" si="8"/>
        <v>32.028514080834533</v>
      </c>
      <c r="G42" s="36">
        <f t="shared" si="1"/>
        <v>54.428514080834532</v>
      </c>
      <c r="H42" s="39">
        <f t="shared" si="2"/>
        <v>9.071419013472422</v>
      </c>
      <c r="I42" s="28">
        <f t="shared" si="3"/>
        <v>1.1471127524869931</v>
      </c>
      <c r="J42" s="41">
        <f t="shared" si="4"/>
        <v>800.46041616258481</v>
      </c>
      <c r="K42" s="41">
        <f t="shared" si="5"/>
        <v>4802.7624969755088</v>
      </c>
      <c r="L42" s="57">
        <f t="shared" si="6"/>
        <v>1.8980342791292657E-2</v>
      </c>
      <c r="N42" s="50">
        <v>27</v>
      </c>
      <c r="O42" s="47">
        <f t="shared" si="9"/>
        <v>4.5</v>
      </c>
      <c r="P42" s="47" cm="1">
        <f t="array" ref="P42">interpolate_for_y($N$5:$N$26,$H$5:$H$26,O42)</f>
        <v>297.96876988948861</v>
      </c>
      <c r="Q42" s="47">
        <f t="shared" si="10"/>
        <v>1787.8126193369317</v>
      </c>
      <c r="R42" s="54">
        <f t="shared" si="11"/>
        <v>4.1391362383069704E-3</v>
      </c>
      <c r="S42" s="73">
        <f t="shared" si="12"/>
        <v>25.7</v>
      </c>
      <c r="T42" s="47">
        <f t="shared" si="13"/>
        <v>4.2833333333333332</v>
      </c>
      <c r="U42" s="47" cm="1">
        <f t="array" ref="U42">interpolate_for_y($N$5:$N$26,$H$5:$H$26,T42)</f>
        <v>274.51913964819278</v>
      </c>
      <c r="V42">
        <f t="shared" si="14"/>
        <v>1647.1148378891567</v>
      </c>
      <c r="W42" s="54">
        <f t="shared" si="15"/>
        <v>2.246352175869958E-3</v>
      </c>
      <c r="AB42" s="14"/>
    </row>
    <row r="43" spans="1:28" ht="28.9" thickBot="1" x14ac:dyDescent="0.5">
      <c r="A43" s="68" t="s">
        <v>78</v>
      </c>
      <c r="B43" s="70">
        <f>B31/B42/24</f>
        <v>4.6734555732298871E-3</v>
      </c>
      <c r="D43" s="28">
        <v>0.85</v>
      </c>
      <c r="E43" s="31">
        <f t="shared" si="7"/>
        <v>2324.5310027128753</v>
      </c>
      <c r="F43" s="34">
        <f t="shared" si="8"/>
        <v>34.030296210886689</v>
      </c>
      <c r="G43" s="36">
        <f t="shared" si="1"/>
        <v>56.430296210886688</v>
      </c>
      <c r="H43" s="39">
        <f t="shared" si="2"/>
        <v>9.4050493684811141</v>
      </c>
      <c r="I43" s="28">
        <f t="shared" si="3"/>
        <v>1.1064206072517109</v>
      </c>
      <c r="J43" s="41">
        <f t="shared" si="4"/>
        <v>832.48244073763487</v>
      </c>
      <c r="K43" s="41">
        <f t="shared" si="5"/>
        <v>4994.894644425809</v>
      </c>
      <c r="L43" s="57">
        <f t="shared" si="6"/>
        <v>1.9390891168136717E-2</v>
      </c>
      <c r="N43" s="50">
        <v>28</v>
      </c>
      <c r="O43" s="47">
        <f t="shared" si="9"/>
        <v>4.666666666666667</v>
      </c>
      <c r="P43" s="47" cm="1">
        <f t="array" ref="P43">interpolate_for_y($N$5:$N$26,$H$5:$H$26,O43)</f>
        <v>318.74903085451348</v>
      </c>
      <c r="Q43" s="47">
        <f t="shared" si="10"/>
        <v>1912.494185127081</v>
      </c>
      <c r="R43" s="54">
        <f t="shared" si="11"/>
        <v>3.8692928101678316E-3</v>
      </c>
      <c r="S43" s="73">
        <f t="shared" si="12"/>
        <v>26.7</v>
      </c>
      <c r="T43" s="47">
        <f t="shared" si="13"/>
        <v>4.45</v>
      </c>
      <c r="U43" s="47" cm="1">
        <f t="array" ref="U43">interpolate_for_y($N$5:$N$26,$H$5:$H$26,T43)</f>
        <v>292.11752814240396</v>
      </c>
      <c r="V43">
        <f t="shared" si="14"/>
        <v>1752.7051688544238</v>
      </c>
      <c r="W43" s="54">
        <f t="shared" si="15"/>
        <v>2.1110224730028822E-3</v>
      </c>
      <c r="AB43" s="14"/>
    </row>
    <row r="44" spans="1:28" ht="15" thickTop="1" thickBot="1" x14ac:dyDescent="0.5">
      <c r="A44" s="23"/>
      <c r="B44" s="23"/>
      <c r="D44" s="28">
        <v>0.9</v>
      </c>
      <c r="E44" s="31">
        <f t="shared" si="7"/>
        <v>2461.2681205195154</v>
      </c>
      <c r="F44" s="34">
        <f t="shared" si="8"/>
        <v>36.032078340938853</v>
      </c>
      <c r="G44" s="36">
        <f t="shared" si="1"/>
        <v>58.432078340938851</v>
      </c>
      <c r="H44" s="39">
        <f t="shared" si="2"/>
        <v>9.7386797234898079</v>
      </c>
      <c r="I44" s="28">
        <f t="shared" si="3"/>
        <v>1.068516547310612</v>
      </c>
      <c r="J44" s="41">
        <f t="shared" si="4"/>
        <v>864.50446531268506</v>
      </c>
      <c r="K44" s="41">
        <f t="shared" si="5"/>
        <v>5187.0267918761101</v>
      </c>
      <c r="L44" s="57">
        <f t="shared" si="6"/>
        <v>1.9771025381167772E-2</v>
      </c>
      <c r="N44" s="50">
        <v>29</v>
      </c>
      <c r="O44" s="47">
        <f t="shared" si="9"/>
        <v>4.833333333333333</v>
      </c>
      <c r="P44" s="47" cm="1">
        <f t="array" ref="P44">interpolate_for_y($N$5:$N$26,$H$5:$H$26,O44)</f>
        <v>340.40253293059413</v>
      </c>
      <c r="Q44" s="47">
        <f t="shared" si="10"/>
        <v>2042.4151975835648</v>
      </c>
      <c r="R44" s="54">
        <f t="shared" si="11"/>
        <v>3.623161445701704E-3</v>
      </c>
      <c r="S44" s="73">
        <f t="shared" si="12"/>
        <v>27.7</v>
      </c>
      <c r="T44" s="47">
        <f t="shared" si="13"/>
        <v>4.6166666666666663</v>
      </c>
      <c r="U44" s="47" cm="1">
        <f t="array" ref="U44">interpolate_for_y($N$5:$N$26,$H$5:$H$26,T44)</f>
        <v>312.35857174050295</v>
      </c>
      <c r="V44">
        <f t="shared" si="14"/>
        <v>1874.1514304430177</v>
      </c>
      <c r="W44" s="54">
        <f t="shared" si="15"/>
        <v>1.974226810010428E-3</v>
      </c>
      <c r="AB44" s="14"/>
    </row>
    <row r="45" spans="1:28" ht="15" thickTop="1" thickBot="1" x14ac:dyDescent="0.5">
      <c r="A45" s="102" t="s">
        <v>66</v>
      </c>
      <c r="B45" s="103"/>
      <c r="D45" s="28">
        <v>0.95</v>
      </c>
      <c r="E45" s="31">
        <f t="shared" si="7"/>
        <v>2598.0052383261545</v>
      </c>
      <c r="F45" s="34">
        <f t="shared" si="8"/>
        <v>38.033860470991002</v>
      </c>
      <c r="G45" s="36">
        <f t="shared" si="1"/>
        <v>60.433860470991</v>
      </c>
      <c r="H45" s="39">
        <f t="shared" si="2"/>
        <v>10.0723100784985</v>
      </c>
      <c r="I45" s="28">
        <f t="shared" si="3"/>
        <v>1.0331235190744275</v>
      </c>
      <c r="J45" s="41">
        <f t="shared" si="4"/>
        <v>896.52648988773524</v>
      </c>
      <c r="K45" s="41">
        <f t="shared" si="5"/>
        <v>5379.1589393264112</v>
      </c>
      <c r="L45" s="57">
        <f t="shared" si="6"/>
        <v>2.0124004418643388E-2</v>
      </c>
      <c r="N45" s="51">
        <v>30</v>
      </c>
      <c r="O45" s="52">
        <f t="shared" si="9"/>
        <v>5</v>
      </c>
      <c r="P45" s="52" cm="1">
        <f t="array" ref="P45">interpolate_for_y($N$5:$N$26,$H$5:$H$26,O45)</f>
        <v>361.52124315105556</v>
      </c>
      <c r="Q45" s="52">
        <f t="shared" si="10"/>
        <v>2169.1274589063332</v>
      </c>
      <c r="R45" s="84">
        <f t="shared" si="11"/>
        <v>3.4115099920089781E-3</v>
      </c>
      <c r="S45" s="83">
        <f t="shared" si="12"/>
        <v>28.7</v>
      </c>
      <c r="T45" s="52">
        <f t="shared" si="13"/>
        <v>4.7833333333333332</v>
      </c>
      <c r="U45" s="52" cm="1">
        <f t="array" ref="U45">interpolate_for_y($N$5:$N$26,$H$5:$H$26,T45)</f>
        <v>333.8993872705949</v>
      </c>
      <c r="V45" s="13">
        <f t="shared" si="14"/>
        <v>2003.3963236235695</v>
      </c>
      <c r="W45" s="55">
        <f t="shared" si="15"/>
        <v>1.8468637265480056E-3</v>
      </c>
      <c r="AB45" s="14"/>
    </row>
    <row r="46" spans="1:28" ht="15" thickTop="1" thickBot="1" x14ac:dyDescent="0.5">
      <c r="A46" s="59" t="s">
        <v>72</v>
      </c>
      <c r="B46" s="66">
        <f>MAX(N5:N26)</f>
        <v>10.405940433507194</v>
      </c>
      <c r="D46" s="28">
        <v>1</v>
      </c>
      <c r="E46" s="31">
        <f t="shared" si="7"/>
        <v>2734.7423561327946</v>
      </c>
      <c r="F46" s="34">
        <f t="shared" si="8"/>
        <v>40.035642601043165</v>
      </c>
      <c r="G46" s="36">
        <f t="shared" si="1"/>
        <v>62.435642601043163</v>
      </c>
      <c r="H46" s="39">
        <f t="shared" si="2"/>
        <v>10.405940433507194</v>
      </c>
      <c r="I46" s="28">
        <f t="shared" si="3"/>
        <v>1</v>
      </c>
      <c r="J46" s="41">
        <f t="shared" si="4"/>
        <v>928.54851446278542</v>
      </c>
      <c r="K46" s="41">
        <f t="shared" si="5"/>
        <v>5571.2910867767123</v>
      </c>
      <c r="L46" s="57">
        <f t="shared" si="6"/>
        <v>2.0452637709533952E-2</v>
      </c>
      <c r="R46" s="14"/>
    </row>
    <row r="47" spans="1:28" ht="29.25" thickTop="1" thickBot="1" x14ac:dyDescent="0.5">
      <c r="A47" s="59" t="s">
        <v>74</v>
      </c>
      <c r="B47" s="67">
        <f>MAX((B46*B35)-B36, 0)</f>
        <v>40.035642601043165</v>
      </c>
      <c r="D47" s="28">
        <v>1.1000000000000001</v>
      </c>
      <c r="E47" s="31">
        <f t="shared" si="7"/>
        <v>3008.2165917460743</v>
      </c>
      <c r="F47" s="34">
        <f t="shared" si="8"/>
        <v>44.039206861147484</v>
      </c>
      <c r="G47" s="36">
        <f t="shared" si="1"/>
        <v>66.439206861147483</v>
      </c>
      <c r="H47" s="39">
        <f t="shared" si="2"/>
        <v>11.07320114352458</v>
      </c>
      <c r="I47" s="28">
        <f t="shared" si="3"/>
        <v>0.93974093838188888</v>
      </c>
      <c r="J47" s="41">
        <f t="shared" si="4"/>
        <v>992.59256361288578</v>
      </c>
      <c r="K47" s="41">
        <f t="shared" si="5"/>
        <v>5955.5553816773145</v>
      </c>
      <c r="L47" s="57">
        <f t="shared" si="6"/>
        <v>2.1046292067914332E-2</v>
      </c>
      <c r="O47" s="45"/>
      <c r="P47" s="45" t="s">
        <v>83</v>
      </c>
      <c r="Q47" s="45" t="s">
        <v>84</v>
      </c>
      <c r="R47" s="14"/>
    </row>
    <row r="48" spans="1:28" ht="15" thickTop="1" thickBot="1" x14ac:dyDescent="0.5">
      <c r="A48" s="68" t="s">
        <v>59</v>
      </c>
      <c r="B48" s="69">
        <f>B46/B40</f>
        <v>2.4974257040417265</v>
      </c>
      <c r="D48" s="29">
        <v>1.25</v>
      </c>
      <c r="E48" s="32">
        <f t="shared" si="7"/>
        <v>3418.4279451659932</v>
      </c>
      <c r="F48" s="35">
        <f t="shared" si="8"/>
        <v>50.044553251303952</v>
      </c>
      <c r="G48" s="37">
        <f t="shared" si="1"/>
        <v>72.444553251303944</v>
      </c>
      <c r="H48" s="40">
        <f t="shared" si="2"/>
        <v>12.074092208550658</v>
      </c>
      <c r="I48" s="29">
        <f t="shared" si="3"/>
        <v>0.86184039791727707</v>
      </c>
      <c r="J48" s="42">
        <f t="shared" si="4"/>
        <v>1088.6586373380364</v>
      </c>
      <c r="K48" s="42">
        <f t="shared" si="5"/>
        <v>6531.9518240282187</v>
      </c>
      <c r="L48" s="58">
        <f t="shared" si="6"/>
        <v>2.1805809588382904E-2</v>
      </c>
      <c r="O48" s="45" t="s">
        <v>18</v>
      </c>
      <c r="P48" s="45" t="s">
        <v>77</v>
      </c>
      <c r="Q48" s="45" t="s">
        <v>77</v>
      </c>
      <c r="R48" s="14"/>
    </row>
    <row r="49" spans="1:18" ht="14.65" thickTop="1" x14ac:dyDescent="0.45">
      <c r="O49" s="46">
        <v>15</v>
      </c>
      <c r="P49" s="44">
        <v>1.2884205497006168E-2</v>
      </c>
      <c r="Q49" s="44">
        <v>1.1685053804169787E-2</v>
      </c>
      <c r="R49" s="14"/>
    </row>
    <row r="50" spans="1:18" x14ac:dyDescent="0.45">
      <c r="O50" s="47">
        <v>16</v>
      </c>
      <c r="P50" s="44">
        <v>1.1926233362474281E-2</v>
      </c>
      <c r="Q50" s="44">
        <v>1.0709052296192893E-2</v>
      </c>
      <c r="R50" s="14"/>
    </row>
    <row r="51" spans="1:18" x14ac:dyDescent="0.45">
      <c r="O51" s="47">
        <v>17</v>
      </c>
      <c r="P51" s="44">
        <v>1.098183048675605E-2</v>
      </c>
      <c r="Q51" s="44">
        <v>9.8697806812747067E-3</v>
      </c>
      <c r="R51" s="14"/>
    </row>
    <row r="52" spans="1:18" x14ac:dyDescent="0.45">
      <c r="O52" s="47">
        <v>18</v>
      </c>
      <c r="P52" s="44">
        <v>1.010013334610366E-2</v>
      </c>
      <c r="Q52" s="44">
        <v>9.1436912674852117E-3</v>
      </c>
      <c r="R52" s="14"/>
    </row>
    <row r="53" spans="1:18" x14ac:dyDescent="0.45">
      <c r="O53" s="47">
        <v>19</v>
      </c>
      <c r="P53" s="44">
        <v>9.3134758525824802E-3</v>
      </c>
      <c r="Q53" s="44">
        <v>8.5078920745420717E-3</v>
      </c>
      <c r="R53" s="14"/>
    </row>
    <row r="54" spans="1:18" x14ac:dyDescent="0.45">
      <c r="A54" s="16"/>
      <c r="O54" s="47">
        <v>20</v>
      </c>
      <c r="P54" s="44">
        <v>8.6397698152768081E-3</v>
      </c>
      <c r="Q54" s="44">
        <v>7.9404283287142774E-3</v>
      </c>
      <c r="R54" s="14"/>
    </row>
    <row r="55" spans="1:18" x14ac:dyDescent="0.45">
      <c r="O55" s="47">
        <v>21</v>
      </c>
      <c r="P55" s="44">
        <v>8.0813333363653605E-3</v>
      </c>
      <c r="Q55" s="44">
        <v>7.4182146139222284E-3</v>
      </c>
      <c r="R55" s="14"/>
    </row>
    <row r="56" spans="1:18" x14ac:dyDescent="0.4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O56" s="47">
        <v>22</v>
      </c>
      <c r="P56" s="44">
        <v>7.6159225889001168E-3</v>
      </c>
      <c r="Q56" s="44">
        <v>6.9261363273888351E-3</v>
      </c>
      <c r="R56" s="14"/>
    </row>
    <row r="57" spans="1:18" x14ac:dyDescent="0.45">
      <c r="A57" s="16"/>
      <c r="B57" s="16"/>
      <c r="C57" s="16"/>
      <c r="D57" s="16"/>
      <c r="E57" s="16"/>
      <c r="F57" s="16"/>
      <c r="G57" s="16"/>
      <c r="H57" s="16"/>
      <c r="I57" s="16"/>
      <c r="J57" s="16"/>
      <c r="O57" s="47">
        <v>23</v>
      </c>
      <c r="P57" s="44">
        <v>7.2146609910648954E-3</v>
      </c>
      <c r="Q57" s="44">
        <v>6.4928239206681511E-3</v>
      </c>
      <c r="R57" s="14"/>
    </row>
    <row r="58" spans="1:18" x14ac:dyDescent="0.4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O58" s="47">
        <v>24</v>
      </c>
      <c r="P58" s="44">
        <v>6.8482415404532539E-3</v>
      </c>
      <c r="Q58" s="44">
        <v>6.1389048059714187E-3</v>
      </c>
      <c r="R58" s="14"/>
    </row>
    <row r="59" spans="1:18" x14ac:dyDescent="0.4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O59" s="47">
        <v>25</v>
      </c>
      <c r="P59" s="44">
        <v>6.4789279939613705E-3</v>
      </c>
      <c r="Q59" s="44">
        <v>5.8148101139257821E-3</v>
      </c>
      <c r="R59" s="14"/>
    </row>
    <row r="60" spans="1:18" x14ac:dyDescent="0.4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O60" s="47">
        <v>26</v>
      </c>
      <c r="P60" s="44">
        <v>6.0927292611891786E-3</v>
      </c>
      <c r="Q60" s="44">
        <v>5.4727443717807059E-3</v>
      </c>
      <c r="R60" s="14"/>
    </row>
    <row r="61" spans="1:18" x14ac:dyDescent="0.4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O61" s="47">
        <v>27</v>
      </c>
      <c r="P61" s="44">
        <v>5.7439288840234063E-3</v>
      </c>
      <c r="Q61" s="44">
        <v>5.1461598712127226E-3</v>
      </c>
      <c r="R61" s="14"/>
    </row>
    <row r="62" spans="1:18" x14ac:dyDescent="0.4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O62" s="47">
        <v>28</v>
      </c>
      <c r="P62" s="44">
        <v>5.4837198543079904E-3</v>
      </c>
      <c r="Q62" s="44">
        <v>4.8857486748085021E-3</v>
      </c>
      <c r="R62" s="14"/>
    </row>
    <row r="63" spans="1:18" x14ac:dyDescent="0.4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O63" s="47">
        <v>29</v>
      </c>
      <c r="P63" s="44">
        <v>5.2815867043318762E-3</v>
      </c>
      <c r="Q63" s="44">
        <v>4.6799687174572885E-3</v>
      </c>
      <c r="R63" s="14"/>
    </row>
    <row r="64" spans="1:18" ht="14.65" thickBot="1" x14ac:dyDescent="0.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O64" s="48">
        <v>30</v>
      </c>
      <c r="P64" s="43">
        <v>5.0491001073959749E-3</v>
      </c>
      <c r="Q64" s="43">
        <v>4.4993900529326017E-3</v>
      </c>
      <c r="R64" s="14"/>
    </row>
    <row r="65" spans="1:18" ht="14.65" thickTop="1" x14ac:dyDescent="0.4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R65" s="14"/>
    </row>
    <row r="66" spans="1:18" x14ac:dyDescent="0.4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R66" s="14"/>
    </row>
    <row r="67" spans="1:18" x14ac:dyDescent="0.4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R67" s="14"/>
    </row>
    <row r="68" spans="1:18" x14ac:dyDescent="0.4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R68" s="14"/>
    </row>
    <row r="69" spans="1:18" x14ac:dyDescent="0.4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R69" s="14"/>
    </row>
    <row r="70" spans="1:18" x14ac:dyDescent="0.4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R70" s="14"/>
    </row>
    <row r="71" spans="1:18" x14ac:dyDescent="0.4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</row>
    <row r="72" spans="1:18" x14ac:dyDescent="0.4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</row>
    <row r="73" spans="1:18" x14ac:dyDescent="0.4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</row>
  </sheetData>
  <mergeCells count="9">
    <mergeCell ref="A2:L3"/>
    <mergeCell ref="A29:B29"/>
    <mergeCell ref="P2:T2"/>
    <mergeCell ref="A34:B34"/>
    <mergeCell ref="A38:B38"/>
    <mergeCell ref="A45:B45"/>
    <mergeCell ref="N28:R28"/>
    <mergeCell ref="S28:W28"/>
    <mergeCell ref="X28:AB28"/>
  </mergeCells>
  <conditionalFormatting sqref="A28:N28 S28 A29:W46 A66:W996 O48:P64 A47:N65 P47 Q47:W65 A1:W1 A20:W27 A2:O19 U2:W19 P2 P3:T19">
    <cfRule type="expression" dxfId="4" priority="5">
      <formula>_xludf.isformula(A1)</formula>
    </cfRule>
  </conditionalFormatting>
  <conditionalFormatting sqref="I30:I48 B48">
    <cfRule type="cellIs" dxfId="3" priority="2" operator="lessThan">
      <formula>1</formula>
    </cfRule>
    <cfRule type="cellIs" dxfId="2" priority="3" operator="lessThan">
      <formula>1.2</formula>
    </cfRule>
    <cfRule type="cellIs" dxfId="1" priority="4" operator="greaterThanOrEqual">
      <formula>1.2</formula>
    </cfRule>
  </conditionalFormatting>
  <conditionalFormatting sqref="X28 X29:AB45">
    <cfRule type="expression" dxfId="0" priority="1">
      <formula>_xludf.isformula(X28)</formula>
    </cfRule>
  </conditionalFormatting>
  <pageMargins left="0.7" right="0.7" top="0.75" bottom="0.75" header="0.3" footer="0.3"/>
  <drawing r:id="rId1"/>
  <legacyDrawing r:id="rId2"/>
</worksheet>
</file>

<file path=docMetadata/LabelInfo.xml><?xml version="1.0" encoding="utf-8"?>
<clbl:labelList xmlns:clbl="http://schemas.microsoft.com/office/2020/mipLabelMetadata">
  <clbl:label id="{8542cf18-e12a-40db-9df3-580a9dfd5309}" enabled="1" method="Standard" siteId="{61e2692b-b9a2-4a3f-ac37-b8aeb7bdac8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Important Info</vt:lpstr>
      <vt:lpstr>T-Motor U7 490kV with T-Motor P</vt:lpstr>
      <vt:lpstr>T-Motor Antigravity 7005 KV230 </vt:lpstr>
      <vt:lpstr>T-Motor Antigravity 7005-230 wi</vt:lpstr>
      <vt:lpstr>Flight Time 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Brighton Smith</dc:creator>
  <cp:lastModifiedBy>Brighton Smith</cp:lastModifiedBy>
  <dcterms:created xsi:type="dcterms:W3CDTF">2024-05-31T13:31:34Z</dcterms:created>
  <dcterms:modified xsi:type="dcterms:W3CDTF">2024-06-07T20:08:08Z</dcterms:modified>
</cp:coreProperties>
</file>